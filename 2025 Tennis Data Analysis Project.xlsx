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78705ea8b21941e/Desktop/Tennis Analytics Project/"/>
    </mc:Choice>
  </mc:AlternateContent>
  <xr:revisionPtr revIDLastSave="1534" documentId="8_{9B29FE5D-3B73-4AF5-BDEB-A6A7BA959C51}" xr6:coauthVersionLast="47" xr6:coauthVersionMax="47" xr10:uidLastSave="{47BEE6C8-906F-4761-B100-276A6D2389BA}"/>
  <bookViews>
    <workbookView xWindow="28680" yWindow="-120" windowWidth="29040" windowHeight="15720" tabRatio="879" xr2:uid="{2D2C2154-5363-487E-BE7D-2EBC2E96FE70}"/>
  </bookViews>
  <sheets>
    <sheet name="Project Overview  " sheetId="2" r:id="rId1"/>
    <sheet name="Tournament List" sheetId="1" r:id="rId2"/>
    <sheet name="Raw Data" sheetId="3" r:id="rId3"/>
    <sheet name="Tournament Results" sheetId="4" r:id="rId4"/>
    <sheet name="Exp. vs Act." sheetId="5" r:id="rId5"/>
    <sheet name="Tournament Comparison" sheetId="9" r:id="rId6"/>
    <sheet name="Statistical Analysis " sheetId="6" r:id="rId7"/>
    <sheet name="Statistical Analysis 2" sheetId="11" r:id="rId8"/>
    <sheet name="Statistical Analysis 3" sheetId="12" r:id="rId9"/>
    <sheet name="Python Analysis" sheetId="14" r:id="rId10"/>
    <sheet name="Python Analysis 2" sheetId="15" r:id="rId11"/>
  </sheets>
  <definedNames>
    <definedName name="ExternalData_1" localSheetId="3" hidden="1">'Tournament Results'!$A$4:$G$512</definedName>
    <definedName name="ExternalData_10" localSheetId="2" hidden="1">'Raw Data'!$C$4:$L$132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 i="5" l="1"/>
  <c r="B13" i="12"/>
  <c r="B12" i="12"/>
  <c r="B11" i="12"/>
  <c r="B10" i="12" a="1"/>
  <c r="B10" i="12" s="1"/>
  <c r="B9" i="12" a="1"/>
  <c r="B9" i="12" s="1"/>
  <c r="B8" i="12" a="1"/>
  <c r="B8" i="12" s="1"/>
  <c r="C8" i="11"/>
  <c r="C7" i="11" a="1"/>
  <c r="C7" i="11" s="1"/>
  <c r="B13" i="6"/>
  <c r="B12" i="6"/>
  <c r="B11" i="6"/>
  <c r="B10" i="6"/>
  <c r="B9" i="6"/>
  <c r="B8" i="6"/>
  <c r="B7" i="6"/>
  <c r="L10" i="5"/>
  <c r="L9" i="5"/>
  <c r="L8"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 i="5"/>
  <c r="L7" i="5" s="1"/>
  <c r="H6" i="5"/>
  <c r="L6" i="5" s="1"/>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 i="5"/>
  <c r="L5" i="5" s="1"/>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6" i="5"/>
  <c r="B14" i="12" l="1"/>
  <c r="B15" i="12" s="1"/>
  <c r="B7" i="12"/>
  <c r="D8" i="9" l="1"/>
  <c r="F6" i="9"/>
  <c r="D7" i="9"/>
  <c r="F5" i="9"/>
  <c r="D6" i="9"/>
  <c r="F8" i="9"/>
  <c r="B5" i="9"/>
  <c r="E5" i="9" a="1"/>
  <c r="E5" i="9" s="1"/>
  <c r="C5" i="9"/>
  <c r="G5" i="9" a="1"/>
  <c r="G5" i="9" s="1"/>
  <c r="D5" i="9"/>
  <c r="E8" i="9" a="1"/>
  <c r="E8" i="9" s="1"/>
  <c r="B8" i="9"/>
  <c r="E7" i="9" a="1"/>
  <c r="E7" i="9" s="1"/>
  <c r="B7" i="9"/>
  <c r="E6" i="9" a="1"/>
  <c r="E6" i="9" s="1"/>
  <c r="B6" i="9"/>
  <c r="G8" i="9" a="1"/>
  <c r="G8" i="9" s="1"/>
  <c r="C8" i="9"/>
  <c r="G7" i="9" a="1"/>
  <c r="G7" i="9" s="1"/>
  <c r="C7" i="9"/>
  <c r="G6" i="9" a="1"/>
  <c r="G6" i="9" s="1"/>
  <c r="C6" i="9"/>
  <c r="F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C3BE77-FC7C-4ACB-9E6D-9D6F730F8C7C}" keepAlive="1" name="Query - ATP Rankings with Player Names" description="Connection to the 'ATP Rankings with Player Names' query in the workbook." type="5" refreshedVersion="0" background="1">
    <dbPr connection="Provider=Microsoft.Mashup.OleDb.1;Data Source=$Workbook$;Location=&quot;ATP Rankings with Player Names&quot;;Extended Properties=&quot;&quot;" command="SELECT * FROM [ATP Rankings with Player Names]"/>
  </connection>
  <connection id="2" xr16:uid="{65E413C6-2FB8-40A2-A331-3E635F313635}" keepAlive="1" name="Query - atp_players" description="Connection to the 'atp_players' query in the workbook." type="5" refreshedVersion="0" background="1">
    <dbPr connection="Provider=Microsoft.Mashup.OleDb.1;Data Source=$Workbook$;Location=atp_players;Extended Properties=&quot;&quot;" command="SELECT * FROM [atp_players]"/>
  </connection>
  <connection id="3" xr16:uid="{CEC71C40-BF5B-4092-804C-04FFA844E472}" keepAlive="1" name="Query - atp_rankings_2025" description="Connection to the 'atp_rankings_2025' query in the workbook." type="5" refreshedVersion="0" background="1">
    <dbPr connection="Provider=Microsoft.Mashup.OleDb.1;Data Source=$Workbook$;Location=atp_rankings_2025;Extended Properties=&quot;&quot;" command="SELECT * FROM [atp_rankings_2025]"/>
  </connection>
  <connection id="4" xr16:uid="{14124A02-B7B4-4547-85BD-15C4016A41CC}" keepAlive="1" name="Query - Australian Open Final Winner" description="Connection to the 'Australian Open Final Winner' query in the workbook." type="5" refreshedVersion="8" background="1" saveData="1">
    <dbPr connection="Provider=Microsoft.Mashup.OleDb.1;Data Source=$Workbook$;Location=&quot;Australian Open Final Winner&quot;;Extended Properties=&quot;&quot;" command="SELECT * FROM [Australian Open Final Winner]"/>
  </connection>
  <connection id="5" xr16:uid="{5C826828-13AE-48E4-9B61-72543C66126D}" keepAlive="1" name="Query - Australian Open Loser Seeds" description="Connection to the 'Australian Open Loser Seeds' query in the workbook." type="5" refreshedVersion="8" background="1" saveData="1">
    <dbPr connection="Provider=Microsoft.Mashup.OleDb.1;Data Source=$Workbook$;Location=&quot;Australian Open Loser Seeds&quot;;Extended Properties=&quot;&quot;" command="SELECT * FROM [Australian Open Loser Seeds]"/>
  </connection>
  <connection id="6" xr16:uid="{EF1D125E-DC46-4CD0-8450-E8B6C47A8653}" keepAlive="1" name="Query - Australian Open Player Analysis" description="Connection to the 'Australian Open Player Analysis' query in the workbook." type="5" refreshedVersion="8" background="1" saveData="1">
    <dbPr connection="Provider=Microsoft.Mashup.OleDb.1;Data Source=$Workbook$;Location=&quot;Australian Open Player Analysis&quot;;Extended Properties=&quot;&quot;" command="SELECT * FROM [Australian Open Player Analysis]"/>
  </connection>
  <connection id="7" xr16:uid="{2A79C2A6-D503-460F-BF38-42E991098DBB}" keepAlive="1" name="Query - Australian Open Player Analysis (2)" description="Connection to the 'Australian Open Player Analysis (2)' query in the workbook." type="5" refreshedVersion="8" background="1" saveData="1">
    <dbPr connection="Provider=Microsoft.Mashup.OleDb.1;Data Source=$Workbook$;Location=&quot;Australian Open Player Analysis (2)&quot;;Extended Properties=&quot;&quot;" command="SELECT * FROM [Australian Open Player Analysis (2)]"/>
  </connection>
  <connection id="8" xr16:uid="{27989A75-C84E-43EC-85CF-90EAC060A540}" keepAlive="1" name="Query - Australian Open Player Analysis (3)" description="Connection to the 'Australian Open Player Analysis (3)' query in the workbook." type="5" refreshedVersion="8" background="1" saveData="1">
    <dbPr connection="Provider=Microsoft.Mashup.OleDb.1;Data Source=$Workbook$;Location=&quot;Australian Open Player Analysis (3)&quot;;Extended Properties=&quot;&quot;" command="SELECT * FROM [Australian Open Player Analysis (3)]"/>
  </connection>
  <connection id="9" xr16:uid="{061789F8-3835-4C76-813E-464ECC6725B5}" keepAlive="1" name="Query - Australian Open Player Match Stats" description="Connection to the 'Australian Open Player Match Stats' query in the workbook." type="5" refreshedVersion="8" background="1" saveData="1">
    <dbPr connection="Provider=Microsoft.Mashup.OleDb.1;Data Source=$Workbook$;Location=&quot;Australian Open Player Match Stats&quot;;Extended Properties=&quot;&quot;" command="SELECT * FROM [Australian Open Player Match Stats]"/>
  </connection>
  <connection id="10" xr16:uid="{69B6FF58-A6AE-4B7A-85D8-D2EC3D2C9AB5}" keepAlive="1" name="Query - Australian Open Player Rankings" description="Connection to the 'Australian Open Player Rankings' query in the workbook." type="5" refreshedVersion="8" background="1" saveData="1">
    <dbPr connection="Provider=Microsoft.Mashup.OleDb.1;Data Source=$Workbook$;Location=&quot;Australian Open Player Rankings&quot;;Extended Properties=&quot;&quot;" command="SELECT * FROM [Australian Open Player Rankings]"/>
  </connection>
  <connection id="11" xr16:uid="{F6DE37A0-4830-49A7-8398-EC62013DD3B4}" keepAlive="1" name="Query - Australian Open Player Results" description="Connection to the 'Australian Open Player Results' query in the workbook." type="5" refreshedVersion="8" background="1" saveData="1">
    <dbPr connection="Provider=Microsoft.Mashup.OleDb.1;Data Source=$Workbook$;Location=&quot;Australian Open Player Results&quot;;Extended Properties=&quot;&quot;" command="SELECT * FROM [Australian Open Player Results]"/>
  </connection>
  <connection id="12" xr16:uid="{1F0978DA-36E8-4397-9E98-1D2340D9D3A8}" keepAlive="1" name="Query - Australian Open Player Rounds" description="Connection to the 'Australian Open Player Rounds' query in the workbook." type="5" refreshedVersion="8" background="1" saveData="1">
    <dbPr connection="Provider=Microsoft.Mashup.OleDb.1;Data Source=$Workbook$;Location=&quot;Australian Open Player Rounds&quot;;Extended Properties=&quot;&quot;" command="SELECT * FROM [Australian Open Player Rounds]"/>
  </connection>
  <connection id="13" xr16:uid="{8ADFF4C1-D026-4FB7-9920-DBDE1B8992A3}" keepAlive="1" name="Query - Australian Open Player Seeds" description="Connection to the 'Australian Open Player Seeds' query in the workbook." type="5" refreshedVersion="8" background="1" saveData="1">
    <dbPr connection="Provider=Microsoft.Mashup.OleDb.1;Data Source=$Workbook$;Location=&quot;Australian Open Player Seeds&quot;;Extended Properties=&quot;&quot;" command="SELECT * FROM [Australian Open Player Seeds]"/>
  </connection>
  <connection id="14" xr16:uid="{2A89AAE7-CAEE-4E22-98B6-6A15DE1F4DB9}" keepAlive="1" name="Query - Australian Open Player Seeds Final" description="Connection to the 'Australian Open Player Seeds Final' query in the workbook." type="5" refreshedVersion="8" background="1" saveData="1">
    <dbPr connection="Provider=Microsoft.Mashup.OleDb.1;Data Source=$Workbook$;Location=&quot;Australian Open Player Seeds Final&quot;;Extended Properties=&quot;&quot;" command="SELECT * FROM [Australian Open Player Seeds Final]"/>
  </connection>
  <connection id="15" xr16:uid="{2107AB5D-3409-40EC-AB5A-4AB6DF3B46EA}" keepAlive="1" name="Query - Australian Open Pyr Seeds Final" description="Connection to the 'Australian Open Pyr Seeds Final' query in the workbook." type="5" refreshedVersion="8" background="1" saveData="1">
    <dbPr connection="Provider=Microsoft.Mashup.OleDb.1;Data Source=$Workbook$;Location=&quot;Australian Open Pyr Seeds Final&quot;;Extended Properties=&quot;&quot;" command="SELECT * FROM [Australian Open Pyr Seeds Final]"/>
  </connection>
  <connection id="16" xr16:uid="{27480490-7720-4507-AC4C-FDBF09CCCFD4}" keepAlive="1" name="Query - Australian Open Winner Seeds" description="Connection to the 'Australian Open Winner Seeds' query in the workbook." type="5" refreshedVersion="8" background="1" saveData="1">
    <dbPr connection="Provider=Microsoft.Mashup.OleDb.1;Data Source=$Workbook$;Location=&quot;Australian Open Winner Seeds&quot;;Extended Properties=&quot;&quot;" command="SELECT * FROM [Australian Open Winner Seeds]"/>
  </connection>
  <connection id="17" xr16:uid="{B9F27489-E3D5-4FD7-BA9E-67A4FA7CBA59}" keepAlive="1" name="Query - Austrtalian Open Player Data" description="Connection to the 'Austrtalian Open Player Data' query in the workbook." type="5" refreshedVersion="8" background="1" saveData="1">
    <dbPr connection="Provider=Microsoft.Mashup.OleDb.1;Data Source=$Workbook$;Location=&quot;Austrtalian Open Player Data&quot;;Extended Properties=&quot;&quot;" command="SELECT * FROM [Austrtalian Open Player Data]"/>
  </connection>
  <connection id="18" xr16:uid="{3FC9FA2D-160A-4A97-AE3A-3550222DF9FE}"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19" xr16:uid="{07138BFF-87E2-4C94-B04C-23B3756CF477}"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<sst xmlns="http://schemas.openxmlformats.org/spreadsheetml/2006/main" count="4849" uniqueCount="848">
  <si>
    <t xml:space="preserve">2025 Tennis Tournament Performance Analysis </t>
  </si>
  <si>
    <t>Analysing the relationship between pre-tournament ATP rankings and actual tournament performance</t>
  </si>
  <si>
    <t>Research Question:</t>
  </si>
  <si>
    <t>How closely did pre-tournament ATP rankings predict men's singles performance across the 2025 Grand Slam tournaments?</t>
  </si>
  <si>
    <t xml:space="preserve">Project Objectives: </t>
  </si>
  <si>
    <t>• Compare players' pre-tournament rankings with their actual tournament results</t>
  </si>
  <si>
    <t>• Measure the difference between expected and actual performance</t>
  </si>
  <si>
    <t>• Analyse variation in player performance using statistical measures</t>
  </si>
  <si>
    <t>• Identify major deviations and unexpected tournament results</t>
  </si>
  <si>
    <t>• Compare performance patterns across the four Grand Slam tournaments</t>
  </si>
  <si>
    <t>• Use Excel, Python and SQL to clean, analyse and interpret the dataset</t>
  </si>
  <si>
    <t>Tournaments Analysed:</t>
  </si>
  <si>
    <t>• Australian Open</t>
  </si>
  <si>
    <t>• Roland Garros</t>
  </si>
  <si>
    <t xml:space="preserve">• Wimbledon </t>
  </si>
  <si>
    <t xml:space="preserve">• US Open </t>
  </si>
  <si>
    <t>Tools Used:</t>
  </si>
  <si>
    <t xml:space="preserve">2025 Grand Slam Tournament List </t>
  </si>
  <si>
    <t xml:space="preserve">Tournament </t>
  </si>
  <si>
    <t>Start Date</t>
  </si>
  <si>
    <t xml:space="preserve">End Date </t>
  </si>
  <si>
    <t>Surface</t>
  </si>
  <si>
    <t xml:space="preserve">Location </t>
  </si>
  <si>
    <t>Tournament Level</t>
  </si>
  <si>
    <t xml:space="preserve">Draw Size </t>
  </si>
  <si>
    <t xml:space="preserve">Australian Open </t>
  </si>
  <si>
    <t>Roland Garros</t>
  </si>
  <si>
    <t xml:space="preserve">Wimbledon </t>
  </si>
  <si>
    <t xml:space="preserve">US Open </t>
  </si>
  <si>
    <t>Key tournament details and classifications for the 2025 Grand Slam's</t>
  </si>
  <si>
    <t>Hard</t>
  </si>
  <si>
    <t xml:space="preserve">Melbourne, Australia </t>
  </si>
  <si>
    <t>Grand Slam</t>
  </si>
  <si>
    <t xml:space="preserve">Clay </t>
  </si>
  <si>
    <t>Paris, France</t>
  </si>
  <si>
    <t>Grass</t>
  </si>
  <si>
    <t>London, United Kingdom</t>
  </si>
  <si>
    <t xml:space="preserve">Grand Slam </t>
  </si>
  <si>
    <t>New York, United States</t>
  </si>
  <si>
    <t xml:space="preserve">Player rankings, tournament results and match-level information used for the analysis </t>
  </si>
  <si>
    <t>Seed</t>
  </si>
  <si>
    <t xml:space="preserve">Matches Played </t>
  </si>
  <si>
    <t xml:space="preserve">Matches Won </t>
  </si>
  <si>
    <t xml:space="preserve">Expected Round </t>
  </si>
  <si>
    <t xml:space="preserve">2025 GRAND SLAM TOURNAMENT MATCH RESULTS </t>
  </si>
  <si>
    <t>Match-level results used to calculate player performance and opponent difficulty</t>
  </si>
  <si>
    <t>Round</t>
  </si>
  <si>
    <t>Winner</t>
  </si>
  <si>
    <t>Loser</t>
  </si>
  <si>
    <t>Winner Ranking</t>
  </si>
  <si>
    <t>Loser Ranking</t>
  </si>
  <si>
    <t>Tournament</t>
  </si>
  <si>
    <t>Score</t>
  </si>
  <si>
    <t>Australian Open</t>
  </si>
  <si>
    <t>R128</t>
  </si>
  <si>
    <t>Jannik Sinner</t>
  </si>
  <si>
    <t>Nicolas Jarry</t>
  </si>
  <si>
    <t>7-6(2) 7-6(5) 6-1</t>
  </si>
  <si>
    <t>Tristan Schoolkate</t>
  </si>
  <si>
    <t>Taro Daniel</t>
  </si>
  <si>
    <t>6-7(6) 7-6(4) 6-1 6-4</t>
  </si>
  <si>
    <t>Marcos Giron</t>
  </si>
  <si>
    <t>Yannick Hanfmann</t>
  </si>
  <si>
    <t>2-6 7-5 6-1 7-5</t>
  </si>
  <si>
    <t>Tomas Martin Etcheverry</t>
  </si>
  <si>
    <t>Flavio Cobolli</t>
  </si>
  <si>
    <t>6-7(8) 6-3 7-5 6-1</t>
  </si>
  <si>
    <t>Hubert Hurkacz</t>
  </si>
  <si>
    <t>Tallon Griekspoor</t>
  </si>
  <si>
    <t>7-5 6-4 6-4</t>
  </si>
  <si>
    <t>Miomir Kecmanovic</t>
  </si>
  <si>
    <t>Dusan Lajovic</t>
  </si>
  <si>
    <t>7-5 3-6 6-3 3-6 6-3</t>
  </si>
  <si>
    <t>Matteo Berrettini</t>
  </si>
  <si>
    <t>Cameron Norrie</t>
  </si>
  <si>
    <t>6-7(4) 6-4 6-1 6-3</t>
  </si>
  <si>
    <t>Holger Rune</t>
  </si>
  <si>
    <t>Zhizhen Zhang</t>
  </si>
  <si>
    <t>4-6 6-3 6-4 3-6 6-4</t>
  </si>
  <si>
    <t>Alex Michelsen</t>
  </si>
  <si>
    <t>Stefanos Tsitsipas</t>
  </si>
  <si>
    <t>7-5 6-3 2-6 6-4</t>
  </si>
  <si>
    <t>James Mccabe</t>
  </si>
  <si>
    <t>Martin Landaluce</t>
  </si>
  <si>
    <t>6-4 6-3 6-4</t>
  </si>
  <si>
    <t>Gabriel Diallo</t>
  </si>
  <si>
    <t>Luca Nardi</t>
  </si>
  <si>
    <t>6-7(1) 7-6(3) 5-7 6-1 6-2</t>
  </si>
  <si>
    <t>Karen Khachanov</t>
  </si>
  <si>
    <t>Adrian Mannarino</t>
  </si>
  <si>
    <t>7-6(5) 6-3 6-3</t>
  </si>
  <si>
    <t>Francisco Cerundolo</t>
  </si>
  <si>
    <t>Alexander Bublik</t>
  </si>
  <si>
    <t>7-6(1) 6-3 6-2</t>
  </si>
  <si>
    <t>Facundo Diaz Acosta</t>
  </si>
  <si>
    <t>Zizou Bergs</t>
  </si>
  <si>
    <t>6-7(5) 6-4 1-6 6-3 6-4</t>
  </si>
  <si>
    <t>Tristan Boyer</t>
  </si>
  <si>
    <t>Federico Coria</t>
  </si>
  <si>
    <t>6-3 6-7(3) 4-6 7-5 6-1</t>
  </si>
  <si>
    <t>Alex De Minaur</t>
  </si>
  <si>
    <t>Botic Van De Zandschulp</t>
  </si>
  <si>
    <t>6-1 7-5 6-4</t>
  </si>
  <si>
    <t>Taylor Fritz</t>
  </si>
  <si>
    <t>Jenson Brooksby</t>
  </si>
  <si>
    <t>6-2 6-0 6-3</t>
  </si>
  <si>
    <t>Cristian Garin</t>
  </si>
  <si>
    <t>Borna Coric</t>
  </si>
  <si>
    <t>7-5 6-1 6-2</t>
  </si>
  <si>
    <t>Daniel Altmaier</t>
  </si>
  <si>
    <t>Francisco Comesana</t>
  </si>
  <si>
    <t>6-2 3-6 7-6(4) 4-6 6-4</t>
  </si>
  <si>
    <t>Gael Monfils</t>
  </si>
  <si>
    <t>Giovanni Mpetshi Perricard</t>
  </si>
  <si>
    <t>7-6(7) 6-3 6-7(6) 6-7(5) 6-4</t>
  </si>
  <si>
    <t>Ben Shelton</t>
  </si>
  <si>
    <t>Brandon Nakashima</t>
  </si>
  <si>
    <t>7-6(3) 7-5 7-5</t>
  </si>
  <si>
    <t>Pablo Carreno Busta</t>
  </si>
  <si>
    <t>Kamil Majchrzak</t>
  </si>
  <si>
    <t>6-4 6-4 6-3</t>
  </si>
  <si>
    <t>Denis Shapovalov</t>
  </si>
  <si>
    <t>Roberto Bautista Agut</t>
  </si>
  <si>
    <t>3-6 6-4 6-4 7-6(8)</t>
  </si>
  <si>
    <t>Lorenzo Musetti</t>
  </si>
  <si>
    <t>Matteo Arnaldi</t>
  </si>
  <si>
    <t>7-6(4) 4-6 7-6(5) 6-3</t>
  </si>
  <si>
    <t>Joao Fonseca</t>
  </si>
  <si>
    <t>Andrey Rublev</t>
  </si>
  <si>
    <t>7-6(1) 6-3 7-6(5)</t>
  </si>
  <si>
    <t>Lorenzo Sonego</t>
  </si>
  <si>
    <t>Stan Wawrinka</t>
  </si>
  <si>
    <t>6-4 5-7 7-5 7-5</t>
  </si>
  <si>
    <t>Fabian Marozsan</t>
  </si>
  <si>
    <t>Thiago Seyboth Wild</t>
  </si>
  <si>
    <t>6-3 6-7(5) 7-5 5-7 7-5</t>
  </si>
  <si>
    <t>Frances Tiafoe</t>
  </si>
  <si>
    <t>Arthur Rinderknech</t>
  </si>
  <si>
    <t>7-6(2) 6-3 4-6 6-7(4) 6-3</t>
  </si>
  <si>
    <t>Corentin Moutet</t>
  </si>
  <si>
    <t>Alexei Popyrin</t>
  </si>
  <si>
    <t>4-6 6-3 6-4 6-4</t>
  </si>
  <si>
    <t>Mitchell Krueger</t>
  </si>
  <si>
    <t>Rinky Hijikata</t>
  </si>
  <si>
    <t>Learner Tien</t>
  </si>
  <si>
    <t>Camilo Ugo Carabelli</t>
  </si>
  <si>
    <t>4-6 7-6(3) 6-3 5-7 6-4</t>
  </si>
  <si>
    <t>Daniil Medvedev</t>
  </si>
  <si>
    <t>Kasidit Samrej</t>
  </si>
  <si>
    <t>6-2 4-6 3-6 6-1 6-2</t>
  </si>
  <si>
    <t>Novak Djokovic</t>
  </si>
  <si>
    <t>Nishesh Basavareddy</t>
  </si>
  <si>
    <t>4-6 6-3 6-4 6-2</t>
  </si>
  <si>
    <t>Jaime Faria</t>
  </si>
  <si>
    <t>Pavel Kotov</t>
  </si>
  <si>
    <t>6-1 6-1 7-5</t>
  </si>
  <si>
    <t>Reilly Opelka</t>
  </si>
  <si>
    <t>Gauthier Onclin</t>
  </si>
  <si>
    <t>3-6 7-6(4) 6-3 6-2</t>
  </si>
  <si>
    <t>Tomas Machac</t>
  </si>
  <si>
    <t>Sumit Nagal</t>
  </si>
  <si>
    <t>6-3 6-1 7-5</t>
  </si>
  <si>
    <t>Jiri Lehecka</t>
  </si>
  <si>
    <t>Li Tu</t>
  </si>
  <si>
    <t>6-1 3-6 6-3 7-6(1)</t>
  </si>
  <si>
    <t>Hugo Gaston</t>
  </si>
  <si>
    <t>Omar Jasika</t>
  </si>
  <si>
    <t>6-2 3-6 6-2 6-2</t>
  </si>
  <si>
    <t>Benjamin Bonzi</t>
  </si>
  <si>
    <t>David Goffin</t>
  </si>
  <si>
    <t>6-1 6-2 7-6(7)</t>
  </si>
  <si>
    <t>Francesco Passaro</t>
  </si>
  <si>
    <t>Grigor Dimitrov</t>
  </si>
  <si>
    <t>7-5 2-1 RET</t>
  </si>
  <si>
    <t>Jack Draper</t>
  </si>
  <si>
    <t>Mariano Navone</t>
  </si>
  <si>
    <t>4-6 6-3 3-6 6-3 6-2</t>
  </si>
  <si>
    <t>Thanasi Kokkinakis</t>
  </si>
  <si>
    <t>Roman Safiullin</t>
  </si>
  <si>
    <t>3-6 6-3 6-3 7-6(5)</t>
  </si>
  <si>
    <t>Aleksandar Vukic</t>
  </si>
  <si>
    <t>Damir Dzumhur</t>
  </si>
  <si>
    <t>6-7(3) 6-0 3-6 6-3 6-4</t>
  </si>
  <si>
    <t>Sebastian Korda</t>
  </si>
  <si>
    <t>Lukas Klein</t>
  </si>
  <si>
    <t>6-3 0-6 6-3 7-6(6)</t>
  </si>
  <si>
    <t>Jordan Thompson</t>
  </si>
  <si>
    <t>Dominik Koepfer</t>
  </si>
  <si>
    <t>7-6(3) 6-4 4-6 6-3</t>
  </si>
  <si>
    <t>Nuno Borges</t>
  </si>
  <si>
    <t>Alexandre Muller</t>
  </si>
  <si>
    <t>6-7(2) 6-3 6-2 7-5</t>
  </si>
  <si>
    <t>Yoshihito Nishioka</t>
  </si>
  <si>
    <t>Aziz Dougaz</t>
  </si>
  <si>
    <t>3-6 6-4 7-6(3) 6-3</t>
  </si>
  <si>
    <t>Carlos Alcaraz</t>
  </si>
  <si>
    <t>Alexander Shevchenko</t>
  </si>
  <si>
    <t>6-1 7-5 6-1</t>
  </si>
  <si>
    <t>Casper Ruud</t>
  </si>
  <si>
    <t>Jaume Munar</t>
  </si>
  <si>
    <t>6-3 1-6 7-5 2-6 6-1</t>
  </si>
  <si>
    <t>Jakub Mensik</t>
  </si>
  <si>
    <t>Nikoloz Basilashvili</t>
  </si>
  <si>
    <t>6-1 6-7(3) 6-3 6-3</t>
  </si>
  <si>
    <t>Alejandro Davidovich Fokina</t>
  </si>
  <si>
    <t>Juncheng Shang</t>
  </si>
  <si>
    <t>7-6(1) 5-2 RET</t>
  </si>
  <si>
    <t>Felix Auger Aliassime</t>
  </si>
  <si>
    <t>Jan Lennard Struff</t>
  </si>
  <si>
    <t>6-3 6-0 4-6 6-1</t>
  </si>
  <si>
    <t>Roberto Carballes Baena</t>
  </si>
  <si>
    <t>Alejandro Tabilo</t>
  </si>
  <si>
    <t>1-6 6-2 6-3 7-6(1)</t>
  </si>
  <si>
    <t>James Duckworth</t>
  </si>
  <si>
    <t>Dominic Stricker</t>
  </si>
  <si>
    <t>6-2 6-4 6-2</t>
  </si>
  <si>
    <t>Kei Nishikori</t>
  </si>
  <si>
    <t>Thiago Monteiro</t>
  </si>
  <si>
    <t>4-6 6-7(4) 7-5 6-2 6-3</t>
  </si>
  <si>
    <t>Tommy Paul</t>
  </si>
  <si>
    <t>Christopher Oconnell</t>
  </si>
  <si>
    <t>6-2 3-6 6-1 6-7(5) 7-5</t>
  </si>
  <si>
    <t>Ugo Humbert</t>
  </si>
  <si>
    <t>Matteo Gigante</t>
  </si>
  <si>
    <t>7-6(5) 7-5 6-4</t>
  </si>
  <si>
    <t>Hady Habib</t>
  </si>
  <si>
    <t>Bu Yunchaokete</t>
  </si>
  <si>
    <t>7-6(4) 6-4 7-6(6)</t>
  </si>
  <si>
    <t>Quentin Halys</t>
  </si>
  <si>
    <t>Adam Walton</t>
  </si>
  <si>
    <t>4-6 4-6 6-4 7-6(4) 7-5</t>
  </si>
  <si>
    <t>Arthur Fils</t>
  </si>
  <si>
    <t>Otto Virtanen</t>
  </si>
  <si>
    <t>3-6 7-6(4) 6-4 6-4</t>
  </si>
  <si>
    <t>Arthur Cazaux</t>
  </si>
  <si>
    <t>Sebastian Baez</t>
  </si>
  <si>
    <t>6-3 5-7 3-6 6-0 6-3</t>
  </si>
  <si>
    <t>Jacob Fearnley</t>
  </si>
  <si>
    <t>Nick Kyrgios</t>
  </si>
  <si>
    <t>7-6(3) 6-3 7-6(2)</t>
  </si>
  <si>
    <t>Pedro Martinez</t>
  </si>
  <si>
    <t>Luciano Darderi</t>
  </si>
  <si>
    <t>6-3 4-1 RET</t>
  </si>
  <si>
    <t>Alexander Zverev</t>
  </si>
  <si>
    <t>Lucas Pouille</t>
  </si>
  <si>
    <t>6-4 6-4 6-4</t>
  </si>
  <si>
    <t>R64</t>
  </si>
  <si>
    <t>4-6 6-4 6-1 6-3</t>
  </si>
  <si>
    <t>7-5 3-6 7-5 3-6 6-4</t>
  </si>
  <si>
    <t>6-4 6-4 6-2</t>
  </si>
  <si>
    <t>7-6(3) 2-6 6-3 7-6(6)</t>
  </si>
  <si>
    <t>7-5 6-3 7-6(4)</t>
  </si>
  <si>
    <t>7-6(4) 4-6 6-3 6-3</t>
  </si>
  <si>
    <t>6-2 1-0 RET</t>
  </si>
  <si>
    <t>6-2 6-4 6-3</t>
  </si>
  <si>
    <t>6-2 6-1 6-0</t>
  </si>
  <si>
    <t>7-5 6-3 7-6(3)</t>
  </si>
  <si>
    <t>6-3 6-3 6-7(4) 6-4</t>
  </si>
  <si>
    <t>7-6(3) 7-6(6) 6-2</t>
  </si>
  <si>
    <t>6-7(6) 6-3 6-1 3-6 6-3</t>
  </si>
  <si>
    <t>6-7(3) 6-4 3-6 6-4 6-1</t>
  </si>
  <si>
    <t>4-6 6-4 7-6(3) 6-4</t>
  </si>
  <si>
    <t>6-3 7-6(4) 6-7(8) 1-6 7-6(7)</t>
  </si>
  <si>
    <t>6-1 6-7(4) 6-3 6-2</t>
  </si>
  <si>
    <t>3-6 7-6(1) 6-7(5) 7-6(4) 6-4</t>
  </si>
  <si>
    <t>6-3 3-1 RET</t>
  </si>
  <si>
    <t>6-2 6-4 3-6 6-4</t>
  </si>
  <si>
    <t>6-7(3) 6-3 3-6 7-5 6-3</t>
  </si>
  <si>
    <t>6-4 3-6 2-6 6-3 7-5</t>
  </si>
  <si>
    <t>6-3 6-2 6-4</t>
  </si>
  <si>
    <t>6-0 6-1 6-4</t>
  </si>
  <si>
    <t>6-2 3-6 6-1 6-4</t>
  </si>
  <si>
    <t>6-7(7) 6-7(5) 6-4 6-1 6-3</t>
  </si>
  <si>
    <t>6-4 6-2 7-5</t>
  </si>
  <si>
    <t>6-7(3) 6-0 6-3 6-1</t>
  </si>
  <si>
    <t>6-3 6-4 6-4</t>
  </si>
  <si>
    <t>6-2 4-6 7-6(2) 7-5</t>
  </si>
  <si>
    <t>3-6 7-5 6-2 6-3</t>
  </si>
  <si>
    <t>6-1 6-4 6-1</t>
  </si>
  <si>
    <t>R32</t>
  </si>
  <si>
    <t>6-3 6-4 6-2</t>
  </si>
  <si>
    <t>6-7(5) 6-3 4-6 6-4 6-4</t>
  </si>
  <si>
    <t>6-3 7-6(5) 6-2</t>
  </si>
  <si>
    <t>5-7 7-6(3) 6-3 6-3</t>
  </si>
  <si>
    <t>3-6 7-5 7-6(1) 6-4</t>
  </si>
  <si>
    <t>6-3 3-6 6-4 7-6(5)</t>
  </si>
  <si>
    <t>6-7(3) 7-6(6) 6-1 6-2</t>
  </si>
  <si>
    <t>7-6(10) 6-3 6-3</t>
  </si>
  <si>
    <t>6-1 6-4 6-4</t>
  </si>
  <si>
    <t>6-2 6-3 6-3</t>
  </si>
  <si>
    <t>6-4 2-6 5-7 7-6(5) 7-6(8)</t>
  </si>
  <si>
    <t>6-2 6-4 6-7(3) 6-2</t>
  </si>
  <si>
    <t>3-6 4-6 7-6(7) 6-4 6-2</t>
  </si>
  <si>
    <t>7-6(0) 6-2 6-0</t>
  </si>
  <si>
    <t>4-6 7-5 6-4 1-0 RET</t>
  </si>
  <si>
    <t>R16</t>
  </si>
  <si>
    <t>6-3 3-6 6-3 6-2</t>
  </si>
  <si>
    <t>6-0 7-6(5) 6-3</t>
  </si>
  <si>
    <t>7-6(3) 6-7(3) 7-6(2) 1-0 RET</t>
  </si>
  <si>
    <t>6-3 6-2 3-6 6-1</t>
  </si>
  <si>
    <t>6-3 6-4 7-6(4)</t>
  </si>
  <si>
    <t>7-5 6-1 0-0 RET</t>
  </si>
  <si>
    <t>6-1 6-1 6-1</t>
  </si>
  <si>
    <t>6-1 2-6 6-3 6-2</t>
  </si>
  <si>
    <t>QF</t>
  </si>
  <si>
    <t>6-3 6-2 6-1</t>
  </si>
  <si>
    <t>6-4 7-5 4-6 7-6(4)</t>
  </si>
  <si>
    <t>4-6 6-4 6-3 6-4</t>
  </si>
  <si>
    <t>7-6(1) 7-6(0) 2-6 6-1</t>
  </si>
  <si>
    <t>SF</t>
  </si>
  <si>
    <t>7-6(2) 6-2 6-2</t>
  </si>
  <si>
    <t>7-6(5) 0-0 RET</t>
  </si>
  <si>
    <t>F</t>
  </si>
  <si>
    <t>6-3 7-6(4) 6-3</t>
  </si>
  <si>
    <t>Player</t>
  </si>
  <si>
    <t>Ranking Before Tournament</t>
  </si>
  <si>
    <t>Matches Lost</t>
  </si>
  <si>
    <t xml:space="preserve">Final </t>
  </si>
  <si>
    <t xml:space="preserve">Quarter-final </t>
  </si>
  <si>
    <t xml:space="preserve">Semi-final </t>
  </si>
  <si>
    <t>ActualRound</t>
  </si>
  <si>
    <t>ActualScore</t>
  </si>
  <si>
    <t>ExpectedScore</t>
  </si>
  <si>
    <t xml:space="preserve">PerformanceDeviation </t>
  </si>
  <si>
    <t>Final</t>
  </si>
  <si>
    <t>Quarter-final</t>
  </si>
  <si>
    <t>Semi-final</t>
  </si>
  <si>
    <t xml:space="preserve">2025 GRAND SLAM MEN'S SINGLES - RAW DATA </t>
  </si>
  <si>
    <t xml:space="preserve">Winner </t>
  </si>
  <si>
    <t>Richard Gasquet</t>
  </si>
  <si>
    <t>Albert Ramos</t>
  </si>
  <si>
    <t>Marin Cilic</t>
  </si>
  <si>
    <t>Filip Misolic</t>
  </si>
  <si>
    <t>Marton Fucsovics</t>
  </si>
  <si>
    <t>Hamad Medjedovic</t>
  </si>
  <si>
    <t>Henrique Rocha</t>
  </si>
  <si>
    <t>Ethan Quinn</t>
  </si>
  <si>
    <t>Pierre Hugues Herbert</t>
  </si>
  <si>
    <t>Jesper De Jong</t>
  </si>
  <si>
    <t>Daniel Elahi Galan</t>
  </si>
  <si>
    <t>Emilio Nava</t>
  </si>
  <si>
    <t>Hugo Dellien</t>
  </si>
  <si>
    <t>Sebastian Ofner</t>
  </si>
  <si>
    <t>Vit Kopriva</t>
  </si>
  <si>
    <t>Juan Manuel Cerundolo</t>
  </si>
  <si>
    <t>Maximilian Marterer</t>
  </si>
  <si>
    <t>Federico Agustin Gomez</t>
  </si>
  <si>
    <t>Giulio Zeppieri</t>
  </si>
  <si>
    <t>Mackenzie Mcdonald</t>
  </si>
  <si>
    <t>Mattia Bellucci</t>
  </si>
  <si>
    <t>Laslo Djere</t>
  </si>
  <si>
    <t>Elmer Moller</t>
  </si>
  <si>
    <t>Lloyd Harris</t>
  </si>
  <si>
    <t>Pablo Llamas Ruiz</t>
  </si>
  <si>
    <t>Kyrian Jacquet</t>
  </si>
  <si>
    <t>Thiago Agustin Tirante</t>
  </si>
  <si>
    <t>Benjamin Hassan</t>
  </si>
  <si>
    <t>Valentin Royer</t>
  </si>
  <si>
    <t>Terence Atmane</t>
  </si>
  <si>
    <t>Ugo Blanchet</t>
  </si>
  <si>
    <t>Aleksandar Kovacevic</t>
  </si>
  <si>
    <t>Clement Tabur</t>
  </si>
  <si>
    <t>Wimbledon</t>
  </si>
  <si>
    <t>Chun Hsin Tseng</t>
  </si>
  <si>
    <t>George Loffhagen</t>
  </si>
  <si>
    <t>Fabio Fognini</t>
  </si>
  <si>
    <t>Alex Bolt</t>
  </si>
  <si>
    <t>Johannus Monday</t>
  </si>
  <si>
    <t>Daniel Evans</t>
  </si>
  <si>
    <t>Raphael Collignon</t>
  </si>
  <si>
    <t>Beibit Zhukayev</t>
  </si>
  <si>
    <t>Christopher Eubanks</t>
  </si>
  <si>
    <t>Jack Pinnington Jones</t>
  </si>
  <si>
    <t>August Holmgren</t>
  </si>
  <si>
    <t>Jay Clarke</t>
  </si>
  <si>
    <t>Brandon Holt</t>
  </si>
  <si>
    <t>Billy Harris</t>
  </si>
  <si>
    <t>Arthur Fery</t>
  </si>
  <si>
    <t>Shintaro Mochizuki</t>
  </si>
  <si>
    <t>Henry Searle</t>
  </si>
  <si>
    <t>Chris Rodesch</t>
  </si>
  <si>
    <t>Oliver Crawford</t>
  </si>
  <si>
    <t>Oliver Tarvet</t>
  </si>
  <si>
    <t>Leandro Riedi</t>
  </si>
  <si>
    <t>Martin Damm</t>
  </si>
  <si>
    <t>Emil Ruusuvuori</t>
  </si>
  <si>
    <t>Coleman Wong</t>
  </si>
  <si>
    <t>Dino Prizmic</t>
  </si>
  <si>
    <t>Zachary Svajda</t>
  </si>
  <si>
    <t>Zsombor Piros</t>
  </si>
  <si>
    <t>Darwin Blanch</t>
  </si>
  <si>
    <t>Jerome Kym</t>
  </si>
  <si>
    <t>Ignacio Buse</t>
  </si>
  <si>
    <t>Stefan Dostanic</t>
  </si>
  <si>
    <t>Eliot Spizzirri</t>
  </si>
  <si>
    <t>US Open</t>
  </si>
  <si>
    <t>*</t>
  </si>
  <si>
    <t>**</t>
  </si>
  <si>
    <t xml:space="preserve">Notes &amp; Data Considerations </t>
  </si>
  <si>
    <t xml:space="preserve">• *, Nick Kyrgios: ATP rankings history shows 0 on the 6th of January 2025 and 0 on the 13th of January 2025. ATP also says he was making his first Grand Slam appearance since the 2022 US Open and was using a protected ranking for entry </t>
  </si>
  <si>
    <t>• **, Jenson Brooksby: ATP rankings history shows 0 on the 13th of January 2025. ATP reported that he had not played a match since January 2023 while recovering from wrist surgery and serving a suspension</t>
  </si>
  <si>
    <t>4-6 6-7(4) 6-4 7-6(3) 7-6(2)</t>
  </si>
  <si>
    <t>6-4 7-5 7-6(3)</t>
  </si>
  <si>
    <t>4-6 7-6(3) 6-0 2-0 RET</t>
  </si>
  <si>
    <t>6-1 7-5 6-0</t>
  </si>
  <si>
    <t>4-6 6-3 6-2 6-4</t>
  </si>
  <si>
    <t>6-2 4-6 7-5 6-2</t>
  </si>
  <si>
    <t>6-1 6-3 6-4</t>
  </si>
  <si>
    <t>7-6(8) 6-3 4-6 6-4</t>
  </si>
  <si>
    <t>6-4 3-0 RET</t>
  </si>
  <si>
    <t>5-7 6-3 6-2 6-4</t>
  </si>
  <si>
    <t>6-2 6-3 6-2</t>
  </si>
  <si>
    <t>7-5 3-6 6-3 6-2</t>
  </si>
  <si>
    <t>6-3 6-3 6-3</t>
  </si>
  <si>
    <t>6-0 6-1 6-2</t>
  </si>
  <si>
    <t>6-1 6-3 4-6 6-4</t>
  </si>
  <si>
    <t>6-2 7-6(4) 6-1</t>
  </si>
  <si>
    <t>4-6 6-4 6-3 6-2</t>
  </si>
  <si>
    <t>4-6 6-2 5-7 7-5 6-2</t>
  </si>
  <si>
    <t>6-3 3-6 7-6(7) 3-6 6-3</t>
  </si>
  <si>
    <t>6-3 6-3 6-4</t>
  </si>
  <si>
    <t>W/O</t>
  </si>
  <si>
    <t>7-6(6) 6-3 6-4</t>
  </si>
  <si>
    <t>6-4 7-6(11) 7-6(5)</t>
  </si>
  <si>
    <t>4-6 6-3 6-3 6-2</t>
  </si>
  <si>
    <t>4-6 6-1 6-7(2) 6-1 6-4</t>
  </si>
  <si>
    <t>6-3 7-6(1) 6-2</t>
  </si>
  <si>
    <t>6-3 6-0 6-4</t>
  </si>
  <si>
    <t>6-1 4-6 6-1 6-2</t>
  </si>
  <si>
    <t>3-6 6-1 6-2 6-3</t>
  </si>
  <si>
    <t>6-3 4-6 6-3 7-5</t>
  </si>
  <si>
    <t>6-3 6-2 7-6(1)</t>
  </si>
  <si>
    <t>2-6 6-4 6-1 6-0</t>
  </si>
  <si>
    <t>6-4 6-0 6-4</t>
  </si>
  <si>
    <t>2-6 2-6 6-4 6-3 6-2</t>
  </si>
  <si>
    <t>6-3 7-6(5) 6-3</t>
  </si>
  <si>
    <t>4-6 2-6 6-3 7-5 6-4</t>
  </si>
  <si>
    <t>7-6(3) 7-6(4) 2-6 0-6 6-4</t>
  </si>
  <si>
    <t>6-4 6-3 6-1</t>
  </si>
  <si>
    <t>7-6(1) 6-1 7-6(5)</t>
  </si>
  <si>
    <t>2-6 1-6 6-4 6-3 6-3</t>
  </si>
  <si>
    <t>6-4 5-7 6-2 6-4</t>
  </si>
  <si>
    <t>6-3 4-4 RET</t>
  </si>
  <si>
    <t>6-1 6-2 7-6(2)</t>
  </si>
  <si>
    <t>7-5 3-6 7-5 4-6 6-2</t>
  </si>
  <si>
    <t>7-5 6-3 6-4</t>
  </si>
  <si>
    <t>6-3 3-6 6-1 6-2</t>
  </si>
  <si>
    <t>7-6(5) 7-6(6) 4-6 4-6 6-3</t>
  </si>
  <si>
    <t>7-6(4) 6-3 4-6 6-4</t>
  </si>
  <si>
    <t>6-2 4-6 6-3 7-5</t>
  </si>
  <si>
    <t>6-3 6-3 6-7(6) 6-1</t>
  </si>
  <si>
    <t>7-6(4) 7-6(4) 6-4</t>
  </si>
  <si>
    <t>7-5 7-6(3) 1-6 6-3</t>
  </si>
  <si>
    <t>4-6 6-3 7-6(2) 7-5</t>
  </si>
  <si>
    <t>6-3 6-4 7-5</t>
  </si>
  <si>
    <t>6-1 7-6(1) 6-3</t>
  </si>
  <si>
    <t>7-6(7) 6-2 6-1</t>
  </si>
  <si>
    <t>6-4 4-6 6-7(5) 7-6(3) 7-5</t>
  </si>
  <si>
    <t>6-4 6-3 7-5</t>
  </si>
  <si>
    <t>7-5 3-6 6-3 6-1</t>
  </si>
  <si>
    <t>3-6 6-1 6-4 6-2</t>
  </si>
  <si>
    <t>7-5 6-2 6-0</t>
  </si>
  <si>
    <t>6-3 6-4 7-6(6)</t>
  </si>
  <si>
    <t>6-7(4) 6-4 6-3 6-2</t>
  </si>
  <si>
    <t>7-5 6-3 4-6 1-6 7-5</t>
  </si>
  <si>
    <t>6-7(5) 6-2 6-3 6-1</t>
  </si>
  <si>
    <t>6-4 4-6 3-6 6-2 6-3</t>
  </si>
  <si>
    <t>6-3 6-4 6-7(6) 6-3</t>
  </si>
  <si>
    <t>6-4 7-5 6-4</t>
  </si>
  <si>
    <t>2-6 3-6 6-2 RET</t>
  </si>
  <si>
    <t>6-4 4-6 6-3 6-1</t>
  </si>
  <si>
    <t>7-5 6-7(5) 7-5 6-3</t>
  </si>
  <si>
    <t>7-6(4) 4-1 RET</t>
  </si>
  <si>
    <t>6-2 4-6 6-3 6-2</t>
  </si>
  <si>
    <t>7-5 6-4 1-2 RET</t>
  </si>
  <si>
    <t>6-3 6-2 6-7(4) 6-3</t>
  </si>
  <si>
    <t>7-6(2) 4-6 6-1 6-2</t>
  </si>
  <si>
    <t>5-7 2-6 6-3 6-4 6-2</t>
  </si>
  <si>
    <t>4-6 6-3 7-6(5) 6-4</t>
  </si>
  <si>
    <t>3-6 6-7(3) 6-4 6-3 6-3</t>
  </si>
  <si>
    <t>6-1 3-6 6-3 6-2</t>
  </si>
  <si>
    <t>6-2 6-4 6-4</t>
  </si>
  <si>
    <t>6-2 7-6(3) 7-5</t>
  </si>
  <si>
    <t>6-2 6-1 6-3</t>
  </si>
  <si>
    <t>3-6 6-7(7) 6-4 7-6(1) 6-1</t>
  </si>
  <si>
    <t>3-6 6-4 6-3 7-5</t>
  </si>
  <si>
    <t>7-6(6) 6-3 6-2</t>
  </si>
  <si>
    <t>6-4 6-2 6-2</t>
  </si>
  <si>
    <t>7-6(6) 6-3 3-6 6-7(4) 7-5</t>
  </si>
  <si>
    <t>6-2 2-6 6-3 6-0</t>
  </si>
  <si>
    <t>2-6 6-0 2-6 6-3 6-4</t>
  </si>
  <si>
    <t>6-4 6-2 6-0</t>
  </si>
  <si>
    <t>4-6 6-4 6-4 6-1</t>
  </si>
  <si>
    <t>4-6 6-3 6-4 7-5</t>
  </si>
  <si>
    <t>7-5 3-6 4-6 7-5 6-2</t>
  </si>
  <si>
    <t>6-7(3) 6-7(4) 6-4 6-2 6-2</t>
  </si>
  <si>
    <t>6-4 6-3 4-6 6-7(6) 6-1</t>
  </si>
  <si>
    <t>6-4 6-2 6-1</t>
  </si>
  <si>
    <t>6-2 6-3 7-6(3)</t>
  </si>
  <si>
    <t>6-3 6-3 7-6(2)</t>
  </si>
  <si>
    <t>5-7 7-6(3) 7-6(4) 6-1</t>
  </si>
  <si>
    <t>4-6 3-6 6-1 7-6(4) 6-1</t>
  </si>
  <si>
    <t>6-3 7-6(6) 6-3</t>
  </si>
  <si>
    <t>6-4 6-1 7-5</t>
  </si>
  <si>
    <t>6-2 7-5 7-5</t>
  </si>
  <si>
    <t>7-6(5) 6-3 6-7(5) 6-2</t>
  </si>
  <si>
    <t>1-6 6-3 7-5 7-6(3)</t>
  </si>
  <si>
    <t>7-6(0) 2-6 7-6(9) 2-6 6-2</t>
  </si>
  <si>
    <t>6-2 6-4 7-6(4)</t>
  </si>
  <si>
    <t>5-7 6-3 6-2 1-6 6-3</t>
  </si>
  <si>
    <t>7-6(3) 4-6 6-3 2-6 6-2</t>
  </si>
  <si>
    <t>6-4 6-3 6-0</t>
  </si>
  <si>
    <t>6-3 6-4 4-6 7-6(5)</t>
  </si>
  <si>
    <t>2-6 6-2 6-4 6-2</t>
  </si>
  <si>
    <t>3-6 6-4 6-1 6-4</t>
  </si>
  <si>
    <t>6-2 6-3 6-4</t>
  </si>
  <si>
    <t>7-6(8) 3-1 RET</t>
  </si>
  <si>
    <t>6-4 7-6(1) 7-6(4)</t>
  </si>
  <si>
    <t>6-3 6-1 6-1</t>
  </si>
  <si>
    <t>6-3 6-7(5) 6-1 5-7 6-4</t>
  </si>
  <si>
    <t>6-4 3-6 6-7(5) 7-5 6-2</t>
  </si>
  <si>
    <t>6-4 4-6 7-6(1) 6-4</t>
  </si>
  <si>
    <t>6-3 7-5 7-6(4)</t>
  </si>
  <si>
    <t>6-2 4-6 7-5 6-1</t>
  </si>
  <si>
    <t>6-2 6-2 2-1 RET</t>
  </si>
  <si>
    <t>6-3 6-4 6-3</t>
  </si>
  <si>
    <t>6-1 6-4 6-3</t>
  </si>
  <si>
    <t>6-4 3-6 4-6 7-6(5) 6-2</t>
  </si>
  <si>
    <t>6-3 7-6(7) 6-1</t>
  </si>
  <si>
    <t>7-6(4) 6-3 7-5</t>
  </si>
  <si>
    <t>7-6(6) 7-6(4) 6-3</t>
  </si>
  <si>
    <t>6-1 4-6 6-2 6-2</t>
  </si>
  <si>
    <t>6-2 6-2 7-6(2)</t>
  </si>
  <si>
    <t>6-3 7-6(6) 4-6 6-7(5) 6-1</t>
  </si>
  <si>
    <t>7-6(4) 6-3 6-4</t>
  </si>
  <si>
    <t>6-2 3-6 6-3 3-6 7-6(6)</t>
  </si>
  <si>
    <t>6-3 6-7(5) 6-7(7) 6-3 7-6(3)</t>
  </si>
  <si>
    <t>6-1 7-5 6-2</t>
  </si>
  <si>
    <t>6-1 6-7(7) 6-2 6-2</t>
  </si>
  <si>
    <t>6-7(6) 6-7(8) 6-4 7-6(6) 6-4</t>
  </si>
  <si>
    <t>6-1 6-2 6-4</t>
  </si>
  <si>
    <t>7-6(4) 7-6(5) 6-4</t>
  </si>
  <si>
    <t>6-2 6-4 7-5</t>
  </si>
  <si>
    <t>6-4 6-1 4-6 6-4</t>
  </si>
  <si>
    <t>7-6(3) 1-6 6-7(2) 6-3 6-1</t>
  </si>
  <si>
    <t>3-6 4-6 6-3 7-6(1) 6-1</t>
  </si>
  <si>
    <t>7-6(2) 3-6 7-6(3) 6-2</t>
  </si>
  <si>
    <t>4-6 6-3 7-6(5) 6-0</t>
  </si>
  <si>
    <t>2-6 3-6 6-3 7-6(6) 7-5</t>
  </si>
  <si>
    <t>4-6 6-2 6-4 5-7 6-3</t>
  </si>
  <si>
    <t>4-6 6-2 7-6(11) 6-2</t>
  </si>
  <si>
    <t>7-6(8) 6-4 6-4</t>
  </si>
  <si>
    <t>7-6(3) 6-7(8) 6-3 6-7(5) 6-4</t>
  </si>
  <si>
    <t>4-6 4-6 7-5 6-3 6-4</t>
  </si>
  <si>
    <t>7-6(5) 6-3 6-2</t>
  </si>
  <si>
    <t>6-4 6-1 7-6(5)</t>
  </si>
  <si>
    <t>6-2 7-5 6-3</t>
  </si>
  <si>
    <t>4-6 6-2 6-2 7-6(0)</t>
  </si>
  <si>
    <t>6-7(2) 6-3 6-4 6-4</t>
  </si>
  <si>
    <t>6-3 3-6 6-4 7-6(3)</t>
  </si>
  <si>
    <t>6-0 7-6(5) 6-7(9) 7-6(6)</t>
  </si>
  <si>
    <t>7-6(7) 7-6(2) 6-7(5) 6-2</t>
  </si>
  <si>
    <t>6-3 6-2 RET</t>
  </si>
  <si>
    <t>6-2 3-6 6-7(2) 6-4 6-4</t>
  </si>
  <si>
    <t>6-2 5-7 6-3 6-3</t>
  </si>
  <si>
    <t>7-5 6-7(5) 7-5 2-6 6-1</t>
  </si>
  <si>
    <t>6-1 6-1 6-3</t>
  </si>
  <si>
    <t>7-5 7-5 7-6(6)</t>
  </si>
  <si>
    <t>7-5 4-6 7-5 7-5</t>
  </si>
  <si>
    <t>1-6 7-5 6-4 7-5</t>
  </si>
  <si>
    <t>6-2 7-5 6-4</t>
  </si>
  <si>
    <t>6-4 1-6 4-6 7-6(5) 6-4</t>
  </si>
  <si>
    <t>7-5 6-2 6-7(6) 6-3</t>
  </si>
  <si>
    <t>6-1 6-3 6-7(3) 7-6(4)</t>
  </si>
  <si>
    <t>6-4 6-3 1-6 6-4</t>
  </si>
  <si>
    <t>6-2 6-3 7-6(9)</t>
  </si>
  <si>
    <t>6-1 7-6(6) 6-2</t>
  </si>
  <si>
    <t>6-4 3-6 6-4 7-6(4)</t>
  </si>
  <si>
    <t>4-6 6-2 6-4 6-0</t>
  </si>
  <si>
    <t>7-6(5) 6-7(8) 6-7(5) 7-5 7-6(5)</t>
  </si>
  <si>
    <t>1-6 6-3 6-2 6-4</t>
  </si>
  <si>
    <t>6-3 6-2 6-0</t>
  </si>
  <si>
    <t>3-6 6-3 7-6(0) 4-6 6-3</t>
  </si>
  <si>
    <t>6-1 4-6 6-3 7-6(5)</t>
  </si>
  <si>
    <t>6-4 6-3 6-3</t>
  </si>
  <si>
    <t>7-5 6-7(2) 4-6 6-2 6-4</t>
  </si>
  <si>
    <t>6-3 6-4 7-6(7)</t>
  </si>
  <si>
    <t>1-6 7-6(7) 4-6 6-3 6-4</t>
  </si>
  <si>
    <t>3-6 6-3 7-6(3) 4-6 6-3</t>
  </si>
  <si>
    <t>6-2 6-2 6-3</t>
  </si>
  <si>
    <t>7-6(4) 6-1 7-5</t>
  </si>
  <si>
    <t>4-6 6-4 6-3 7-5</t>
  </si>
  <si>
    <t>6-7(1) 6-4 7-6(5) 6-3</t>
  </si>
  <si>
    <t>6-4 6-4 5-7 7-6(1)</t>
  </si>
  <si>
    <t>3-6 7-6(9) 6-3 6-4</t>
  </si>
  <si>
    <t>6-1 6-3 6-1</t>
  </si>
  <si>
    <t>6-3 6-4 7-6(0)</t>
  </si>
  <si>
    <t>6-3 7-6(4) 6-2</t>
  </si>
  <si>
    <t>6-7(5) 7-6(8) 7-6(2) 3-6 7-6(3)</t>
  </si>
  <si>
    <t>6-3 3-6 6-2 6-4</t>
  </si>
  <si>
    <t>6-4 7-6(5) 6-3</t>
  </si>
  <si>
    <t>6-4 6-3 6-7(5) 6-1</t>
  </si>
  <si>
    <t>6-4 6-4 3-6 6-3</t>
  </si>
  <si>
    <t>7-6(6) 4-6 4-6 6-3 7-6(8)</t>
  </si>
  <si>
    <t>6-3 7-6(4) 7-6(6)</t>
  </si>
  <si>
    <t>6-3 6-4 3-6 7-6(4)</t>
  </si>
  <si>
    <t>7-6(5) 6-4 6-3</t>
  </si>
  <si>
    <t>7-5 6-2 6-3</t>
  </si>
  <si>
    <t>6-1 3-6 6-3 6-4</t>
  </si>
  <si>
    <t>3-6 5-7 2-2 RET</t>
  </si>
  <si>
    <t>3-6 6-1 7-6(1) 7-5</t>
  </si>
  <si>
    <t>6-4 6-4 6-7(4) 7-6(3)</t>
  </si>
  <si>
    <t>1-6 6-4 6-4 6-4</t>
  </si>
  <si>
    <t>6-1 3-0 RET</t>
  </si>
  <si>
    <t>6-4 6-2 6-3</t>
  </si>
  <si>
    <t>6-3 7-6(4) 6-7(7) 6-7(5) 6-3</t>
  </si>
  <si>
    <t>6-7(5) 6-3 6-4 6-4</t>
  </si>
  <si>
    <t>7-6(2) 6-4 6-4</t>
  </si>
  <si>
    <t>6-7(6) 6-2 7-5 6-4</t>
  </si>
  <si>
    <t>6-3 6-4 1-6 7-6(4)</t>
  </si>
  <si>
    <t>6-4 5-7 6-3 7-6(6)</t>
  </si>
  <si>
    <t>4-6 6-4 6-4 6-4</t>
  </si>
  <si>
    <t>6-1 6-1 6-2</t>
  </si>
  <si>
    <t>6-3 6-4 7-6(3)</t>
  </si>
  <si>
    <t>6-1 6-4 7-6(1)</t>
  </si>
  <si>
    <t>6-4 6-4 6-0</t>
  </si>
  <si>
    <t>6-4 6-1 6-4</t>
  </si>
  <si>
    <t>6-3 7-6(8) 1-6 1-6 7-6(6)</t>
  </si>
  <si>
    <t>6-3 6-3 6-1</t>
  </si>
  <si>
    <t>6-7(3) 6-3 6-4 6-4</t>
  </si>
  <si>
    <t>6-7(2) 6-4 6-3 7-5</t>
  </si>
  <si>
    <t>6-3 6-7(4) 6-4 3-6 6-4</t>
  </si>
  <si>
    <t>7-5 4-6 6-4 3-6 6-3</t>
  </si>
  <si>
    <t>7-6(4) 4-6 7-5 7-5</t>
  </si>
  <si>
    <t>6-0 6-3 5-7 6-2</t>
  </si>
  <si>
    <t>6-4 7-5 6-7(7) 6-2</t>
  </si>
  <si>
    <t>6-2 7-6(4) 6-4</t>
  </si>
  <si>
    <t>7-5 6-2 5-7 6-4</t>
  </si>
  <si>
    <t>6-4 2-6 6-1 3-6 6-4</t>
  </si>
  <si>
    <t>6-4 7-6(8) 6-4</t>
  </si>
  <si>
    <t>6-4 7-6(4) 5-7 6-1</t>
  </si>
  <si>
    <t>6-4 7-5 7-6(4)</t>
  </si>
  <si>
    <t>6-3 7-5 6-4</t>
  </si>
  <si>
    <t>6-7(5) 6-3 7-5 6-1</t>
  </si>
  <si>
    <t>6-1 6-4 6-7(5) 6-4</t>
  </si>
  <si>
    <t>3-6 2-6 7-5 6-4 6-3</t>
  </si>
  <si>
    <t>4-6 6-0 6-1 7-6(5)</t>
  </si>
  <si>
    <t>7-5 6-7(3) 7-6(7) 6-7(5) 6-4</t>
  </si>
  <si>
    <t>6-1 7-6(3) 6-2</t>
  </si>
  <si>
    <t>7-5 6-4 RET</t>
  </si>
  <si>
    <t>1-6 6-3 6-4 6-4</t>
  </si>
  <si>
    <t>3-6 7-6(4) 6-3 6-3</t>
  </si>
  <si>
    <t>6-3 7-6(4) 7-6(2)</t>
  </si>
  <si>
    <t>7-6(5) 6-3 6-4</t>
  </si>
  <si>
    <t>6-4 3-6 7-6(7) 6-2</t>
  </si>
  <si>
    <t>7-6(3) 7-6(5) 6-3</t>
  </si>
  <si>
    <t>6-2 6-7(5) 2-6 6-2 7-6(7)</t>
  </si>
  <si>
    <t>6-3 6-2 3-6 7-6(5)</t>
  </si>
  <si>
    <t>7-6(7) 6-4 6-2</t>
  </si>
  <si>
    <t>6-2 6-4 1-6 6-3</t>
  </si>
  <si>
    <t>7-5 6-4 6-0</t>
  </si>
  <si>
    <t>3-6 6-4 7-6(5) 6-1</t>
  </si>
  <si>
    <t>6-1 6-2 7-6(5)</t>
  </si>
  <si>
    <t>6-3 7-5 6-7(5) 0-6 6-4</t>
  </si>
  <si>
    <t>6-0 7-5 4-6 5-7 6-4</t>
  </si>
  <si>
    <t>7-6(2) 7-5 4-6 6-2</t>
  </si>
  <si>
    <t>6-2 6-1 6-2</t>
  </si>
  <si>
    <t>7-5 6-4 7-6(4)</t>
  </si>
  <si>
    <t>7-6(0) 1-6 6-3 3-0 RET</t>
  </si>
  <si>
    <t>6-3 6-2 6-2</t>
  </si>
  <si>
    <t>7-6(6) 3-6 7-6(4) 6-3</t>
  </si>
  <si>
    <t>7-6(6) 6-3 5-7 5-7 7-5</t>
  </si>
  <si>
    <t>6-4 6-0 6-2</t>
  </si>
  <si>
    <t>5-7 6-3 6-4 2-6 7-6(3)</t>
  </si>
  <si>
    <t>7-5 6-3 7-5</t>
  </si>
  <si>
    <t>6-1 7-6(4) 7-6(5)</t>
  </si>
  <si>
    <t>7-6(5) 6-2 4-6 6-4</t>
  </si>
  <si>
    <t>6-3 6-3 5-7 7-6(4)</t>
  </si>
  <si>
    <t>2-6 6-7(4) 6-4 7-5 7-6(5)</t>
  </si>
  <si>
    <t>3-6 4-6 6-4 6-4 6-2</t>
  </si>
  <si>
    <t>7-6(5) 1-6 4-6 6-3 7-5</t>
  </si>
  <si>
    <t>6-7(5) 6-3 6-3 6-1</t>
  </si>
  <si>
    <t>7-6(5) 6-3 6-7(0) 7-6(4)</t>
  </si>
  <si>
    <t>6-4 7-5 6-7(8) 7-5</t>
  </si>
  <si>
    <t>7-6(5) 2-6 6-3 4-6 7-5</t>
  </si>
  <si>
    <t>6-7(2) 7-6(5) 3-6 6-4 7-6(7)</t>
  </si>
  <si>
    <t>7-6(4) 6-2 6-3</t>
  </si>
  <si>
    <t>4-6 7-6(2) 7-5 3-6 7-6(8)</t>
  </si>
  <si>
    <t>4-6 7-6(3) 6-2 6-4</t>
  </si>
  <si>
    <t>6-4 6-2 6-4</t>
  </si>
  <si>
    <t>6-4 6-7(5) 6-3 6-3</t>
  </si>
  <si>
    <t>3-6 6-0 6-2 6-4</t>
  </si>
  <si>
    <t>6-4 3-6 3-6 6-4 7-5</t>
  </si>
  <si>
    <t>2-6 4-6 7-5 6-3 6-4</t>
  </si>
  <si>
    <t>6-4 3-6 2-6 6-2 6-3</t>
  </si>
  <si>
    <t>6-0 7-6(3) 2-6 6-4</t>
  </si>
  <si>
    <t>6-1 6-0 6-3</t>
  </si>
  <si>
    <t>5-7 6-4 6-3 6-3</t>
  </si>
  <si>
    <t>7-6(5) 6-7(4) 6-3 6-7(5) 6-1</t>
  </si>
  <si>
    <t>6-3 6-2 2-0 RET</t>
  </si>
  <si>
    <t>4-6 7-6(7) 6-4 6-4</t>
  </si>
  <si>
    <t>2-6 6-4 6-3 4-6 6-3</t>
  </si>
  <si>
    <t>5-3 RET</t>
  </si>
  <si>
    <t>6-7(7) 6-3 6-4 2-0 RET</t>
  </si>
  <si>
    <t>6-4 6-7(4) 6-2 6-3</t>
  </si>
  <si>
    <t>6-4 6-3 7-6(7)</t>
  </si>
  <si>
    <t>7-5 6-3 6-1</t>
  </si>
  <si>
    <t>7-6(3) 6-7(9) 6-4 6-4</t>
  </si>
  <si>
    <t>3-6 6-3 4-6 6-4 RET</t>
  </si>
  <si>
    <t>6-2 6-4 6-0</t>
  </si>
  <si>
    <t>6-3 6-0 6-1</t>
  </si>
  <si>
    <t>6-3 6-3 6-2</t>
  </si>
  <si>
    <t>7-6(4) 6-4 2-6 6-2</t>
  </si>
  <si>
    <t>7-6(3) 6-3 6-4</t>
  </si>
  <si>
    <t>6-1 6-4 6-2</t>
  </si>
  <si>
    <t>4-6 7-6(7) 7-5 7-6(4)</t>
  </si>
  <si>
    <t>6-3 7-5 3-6 6-4</t>
  </si>
  <si>
    <t>6-4 7-6(4) 6-2</t>
  </si>
  <si>
    <t>Expected vs Actual Performance</t>
  </si>
  <si>
    <t>Comparing pre-tournament ATP ranking expectations with actual Grand Slam performance</t>
  </si>
  <si>
    <t xml:space="preserve">Ranking Before Tournament </t>
  </si>
  <si>
    <t>Expected Score</t>
  </si>
  <si>
    <t xml:space="preserve">Actual Round </t>
  </si>
  <si>
    <t>Actual Score</t>
  </si>
  <si>
    <t xml:space="preserve">Performance Deviation </t>
  </si>
  <si>
    <t>Avg. Expected Score:</t>
  </si>
  <si>
    <t>Summary Statistics</t>
  </si>
  <si>
    <t>Avg. Actual Score:</t>
  </si>
  <si>
    <t>Avg. Performance Deviation:</t>
  </si>
  <si>
    <t>Players Above Expectation:</t>
  </si>
  <si>
    <t>Players Matching Expectation:</t>
  </si>
  <si>
    <t>Player Below Expectation:</t>
  </si>
  <si>
    <t xml:space="preserve">2025 GRAND SLAM TOURNAMENT COMPARISON </t>
  </si>
  <si>
    <t>Comparing expected performance, actual performance and performance deviations across the four Grand Slam tournaments</t>
  </si>
  <si>
    <t>Avg. Actual Score</t>
  </si>
  <si>
    <t xml:space="preserve">Avg. Performance Deviation </t>
  </si>
  <si>
    <t>Above Expectation</t>
  </si>
  <si>
    <t>Matching Expectation</t>
  </si>
  <si>
    <t xml:space="preserve">Below Expectation </t>
  </si>
  <si>
    <t xml:space="preserve">Avg. Expected Score </t>
  </si>
  <si>
    <t>• Expected Score: A numerical measure of the tournament round a player was expected to reach based on their ATP ranking immediately before the tournament. Ranking bands were assigned an expected round, with higher scores representing later stages of the tournament.</t>
  </si>
  <si>
    <t>• Performance Deviation: Actual Score − Expected Score. A positive value indicates that a player progressed further than their ranking-based expected round, 0 indicates that they matched their expected round, and a negative value indicates that they exited earlier than expected.</t>
  </si>
  <si>
    <t>Statistical Analysis of Ranking and Tournament Performance</t>
  </si>
  <si>
    <t>Examining the relationship between pre-tournament ATP rankings, expected performance and actual Grand Slam results</t>
  </si>
  <si>
    <t xml:space="preserve">Statistic </t>
  </si>
  <si>
    <t xml:space="preserve">Value </t>
  </si>
  <si>
    <t>Average Expected Score</t>
  </si>
  <si>
    <t>Average Actual Score</t>
  </si>
  <si>
    <t>Average Performance Deviation</t>
  </si>
  <si>
    <t>Median Performance Deviation</t>
  </si>
  <si>
    <t>Standard Deviation of Performance Deviation</t>
  </si>
  <si>
    <t>Minimum Performance Deviation</t>
  </si>
  <si>
    <t>Maximum Performance Deviation</t>
  </si>
  <si>
    <t>Correlation Analysis</t>
  </si>
  <si>
    <t>Variable 1</t>
  </si>
  <si>
    <t>Variable 2</t>
  </si>
  <si>
    <t>Correlation Coefficient</t>
  </si>
  <si>
    <t xml:space="preserve">ATP Ranking Before Tournament  </t>
  </si>
  <si>
    <t>Correlation Interpretation</t>
  </si>
  <si>
    <t>ATP Ranking vs Actual Score</t>
  </si>
  <si>
    <t>Expected Score vs Actual Score</t>
  </si>
  <si>
    <t>The correlation of -0.2558 indicates a modest negative relationship between pre-tournament ATP ranking and actual tournament performance. Because a lower ATP ranking represents a higher-ranked player, the negative relationship is consistent with higher-ranked players tending to achieve higher performance scores. However, the relatively small magnitude indicates substantial variation in tournament outcomes.</t>
  </si>
  <si>
    <t>The correlation of 0.5750 indicates a moderate positive relationship between ranking-based Expected Score and Actual Score. Players with higher expected performance scores generally achieved higher actual performance scores, although the relationship is not perfect and considerable variation remained between expectations and results.</t>
  </si>
  <si>
    <t>Descriptive Statistics</t>
  </si>
  <si>
    <t>Descriptive Statistics Interpretation</t>
  </si>
  <si>
    <t>Across the sample, the average ranking-based expected performance was 1.9414, indicating that the typical player was expected to exit relatively early in the tournament because the sample contains many players outside the top ranking bands.</t>
  </si>
  <si>
    <t>The average actual performance score was 1.9922, which was slightly higher than the average expected score. This suggests that, overall, players progressed marginally further than their ranking-based expectations.</t>
  </si>
  <si>
    <t>The average deviation was 0.0469, which is very close to zero. This indicates that, across the full sample, actual performance was broadly similar to the ranking-based expectations, with only a small positive average difference.</t>
  </si>
  <si>
    <t>The median deviation was 0, meaning the middle observation matched its expected performance. This also shows that the small positive average was not driven by every player outperforming expectations; performance varied substantially around the expected outcome.</t>
  </si>
  <si>
    <t>The standard deviation was 1.2519, showing considerable variation in performance deviations. Players' actual tournament outcomes could therefore differ noticeably from the round expected from their pre-tournament ranking.</t>
  </si>
  <si>
    <t>The minimum deviation was −5, meaning at least one player exited as many as five performance-score levels below their ranking-based expectation.</t>
  </si>
  <si>
    <t>The maximum deviation was +3, meaning the largest positive deviation was three performance-score levels above the player's ranking-based expectation.</t>
  </si>
  <si>
    <t xml:space="preserve">Regression Analysis </t>
  </si>
  <si>
    <t xml:space="preserve">Model </t>
  </si>
  <si>
    <t>Regression Equation</t>
  </si>
  <si>
    <t>Slope (Coefficient)</t>
  </si>
  <si>
    <t>Intercept</t>
  </si>
  <si>
    <t>R-squared</t>
  </si>
  <si>
    <t>Standard Error of Regression</t>
  </si>
  <si>
    <t xml:space="preserve">Observations </t>
  </si>
  <si>
    <t xml:space="preserve">Standard Error of Coefficient </t>
  </si>
  <si>
    <t>t-statistic</t>
  </si>
  <si>
    <t>p-value</t>
  </si>
  <si>
    <t>Regression Interpretations</t>
  </si>
  <si>
    <t>PYTHON ANALYSIS - ATP GRAND SLAM PERFORMANCE</t>
  </si>
  <si>
    <t>2025 Australian Open, Roland Garros, Wimbledon &amp; US Open — 512 player-tournament observations</t>
  </si>
  <si>
    <t xml:space="preserve">Purpose of Analysis </t>
  </si>
  <si>
    <t>Python was used to conduct additional analysis of the relationship between pre-tournament ATP ranking and tournament performance, focusing on actual performance, performance relative to expectations and consistency across the four 2025 Grand Slam tournaments.</t>
  </si>
  <si>
    <t>Ranking Group</t>
  </si>
  <si>
    <t>Observations</t>
  </si>
  <si>
    <t>1-10</t>
  </si>
  <si>
    <t>11-20</t>
  </si>
  <si>
    <t>21-50</t>
  </si>
  <si>
    <t>51-100</t>
  </si>
  <si>
    <t>101+</t>
  </si>
  <si>
    <t>Interpretation</t>
  </si>
  <si>
    <t>Average Actual Score declined as pre-tournament ranking position moved further from the top of the rankings. Players ranked 1–10 averaged 4.23 performance points compared with 1.56 for players ranked 101+. This indicates a clear association between higher pre-tournament ranking and stronger tournament performance within the dataset.</t>
  </si>
  <si>
    <t xml:space="preserve">Average Performance Deviation </t>
  </si>
  <si>
    <t xml:space="preserve">Interpretation </t>
  </si>
  <si>
    <t>Although higher-ranked players achieved higher absolute Actual Scores, their average Performance Deviation was negative. Lower-ranked players recorded positive average deviations. This highlights the distinction between absolute tournament performance and performance relative to pre-tournament expectations.</t>
  </si>
  <si>
    <t xml:space="preserve">Ranking Group </t>
  </si>
  <si>
    <t xml:space="preserve">Standard Deviation of Performance Deviation </t>
  </si>
  <si>
    <t>Variation in Performance Deviation was highest among players ranked 1–10, with a standard deviation of 1.97, and lowest among players ranked 101+, at 0.80. This indicates that performance relative to expectations was more variable among higher-ranked players within the dataset.</t>
  </si>
  <si>
    <t>Python Method</t>
  </si>
  <si>
    <t>Python Methods</t>
  </si>
  <si>
    <t>Statistical &amp; Player-Level Analysis — 2025 ATP Grand Slam Men’s Singles</t>
  </si>
  <si>
    <t xml:space="preserve">1. Ranking Group Performance </t>
  </si>
  <si>
    <t>2. Ranking vs Expectations</t>
  </si>
  <si>
    <t xml:space="preserve">3. Variation in Performance Deviation </t>
  </si>
  <si>
    <t xml:space="preserve">4. Ranking vs Actual Score Correlation </t>
  </si>
  <si>
    <t>Measure</t>
  </si>
  <si>
    <t>Result</t>
  </si>
  <si>
    <t>Pearson Correlation</t>
  </si>
  <si>
    <t>The correlation coefficient of -0.2558 indicates a negative association between numerical ATP ranking and Actual Score. Because a lower ranking number represents a higher-ranked player, the result is consistent with higher-ranked players tending to achieve higher tournament performance. However, the correlation is relatively modest, indicating that ranking alone does not fully explain differences in tournament performance.</t>
  </si>
  <si>
    <t xml:space="preserve">5. Consistent Player Performance Relative to Expectations </t>
  </si>
  <si>
    <t>Grand Slams</t>
  </si>
  <si>
    <t>Total Performance Deviation</t>
  </si>
  <si>
    <t>Among players with at least three Grand Slam observations, Adrian Mannarino recorded the highest average Performance Deviation at +1.67, followed by Cameron Norrie at +1.50. The analysis identifies players who recorded positive performance deviations across multiple Grand Slam appearances.</t>
  </si>
  <si>
    <t>+5</t>
  </si>
  <si>
    <t>+6</t>
  </si>
  <si>
    <t>+4</t>
  </si>
  <si>
    <t>+3</t>
  </si>
  <si>
    <r>
      <rPr>
        <b/>
        <sz val="11"/>
        <color theme="1"/>
        <rFont val="Aptos Narrow"/>
        <family val="2"/>
        <scheme val="minor"/>
      </rPr>
      <t>Question:</t>
    </r>
    <r>
      <rPr>
        <sz val="11"/>
        <color theme="1"/>
        <rFont val="Aptos Narrow"/>
        <family val="2"/>
        <scheme val="minor"/>
      </rPr>
      <t xml:space="preserve"> How does tournament performance differ across pre-tournament ATP ranking groups?</t>
    </r>
  </si>
  <si>
    <r>
      <rPr>
        <b/>
        <sz val="11"/>
        <color theme="1"/>
        <rFont val="Aptos Narrow"/>
        <family val="2"/>
        <scheme val="minor"/>
      </rPr>
      <t>Methods used:</t>
    </r>
    <r>
      <rPr>
        <sz val="11"/>
        <color theme="1"/>
        <rFont val="Aptos Narrow"/>
        <family val="2"/>
        <scheme val="minor"/>
      </rPr>
      <t xml:space="preserve"> pd.cut(), groupby(), count() and mean()</t>
    </r>
  </si>
  <si>
    <r>
      <rPr>
        <b/>
        <sz val="11"/>
        <color theme="1"/>
        <rFont val="Aptos Narrow"/>
        <family val="2"/>
        <scheme val="minor"/>
      </rPr>
      <t>Question:</t>
    </r>
    <r>
      <rPr>
        <sz val="11"/>
        <color theme="1"/>
        <rFont val="Aptos Narrow"/>
        <family val="2"/>
        <scheme val="minor"/>
      </rPr>
      <t xml:space="preserve"> Do higher-ranked players perform above or below their expected tournament outcome?</t>
    </r>
  </si>
  <si>
    <r>
      <rPr>
        <b/>
        <sz val="11"/>
        <color theme="1"/>
        <rFont val="Aptos Narrow"/>
        <family val="2"/>
        <scheme val="minor"/>
      </rPr>
      <t>Methods used:</t>
    </r>
    <r>
      <rPr>
        <sz val="11"/>
        <color theme="1"/>
        <rFont val="Aptos Narrow"/>
        <family val="2"/>
        <scheme val="minor"/>
      </rPr>
      <t xml:space="preserve"> groupby(), mean()</t>
    </r>
  </si>
  <si>
    <r>
      <rPr>
        <b/>
        <sz val="11"/>
        <color theme="1"/>
        <rFont val="Aptos Narrow"/>
        <family val="2"/>
        <scheme val="minor"/>
      </rPr>
      <t>Question:</t>
    </r>
    <r>
      <rPr>
        <sz val="11"/>
        <color theme="1"/>
        <rFont val="Aptos Narrow"/>
        <family val="2"/>
        <scheme val="minor"/>
      </rPr>
      <t xml:space="preserve"> How consistent is performance relative to expectations within each ranking group?</t>
    </r>
  </si>
  <si>
    <r>
      <rPr>
        <b/>
        <sz val="11"/>
        <color theme="1"/>
        <rFont val="Aptos Narrow"/>
        <family val="2"/>
        <scheme val="minor"/>
      </rPr>
      <t>Methods used:</t>
    </r>
    <r>
      <rPr>
        <sz val="11"/>
        <color theme="1"/>
        <rFont val="Aptos Narrow"/>
        <family val="2"/>
        <scheme val="minor"/>
      </rPr>
      <t xml:space="preserve"> groupby(), std()</t>
    </r>
  </si>
  <si>
    <r>
      <rPr>
        <b/>
        <sz val="11"/>
        <color theme="1"/>
        <rFont val="Aptos Narrow"/>
        <family val="2"/>
        <scheme val="minor"/>
      </rPr>
      <t>Question:</t>
    </r>
    <r>
      <rPr>
        <sz val="11"/>
        <color theme="1"/>
        <rFont val="Aptos Narrow"/>
        <family val="2"/>
        <scheme val="minor"/>
      </rPr>
      <t xml:space="preserve"> What is the relationship between pre-tournament ATP ranking and tournament performance?</t>
    </r>
  </si>
  <si>
    <r>
      <rPr>
        <b/>
        <sz val="11"/>
        <color theme="1"/>
        <rFont val="Aptos Narrow"/>
        <family val="2"/>
        <scheme val="minor"/>
      </rPr>
      <t>Method used:</t>
    </r>
    <r>
      <rPr>
        <sz val="11"/>
        <color theme="1"/>
        <rFont val="Aptos Narrow"/>
        <family val="2"/>
        <scheme val="minor"/>
      </rPr>
      <t xml:space="preserve"> corr()</t>
    </r>
  </si>
  <si>
    <r>
      <rPr>
        <b/>
        <sz val="11"/>
        <color theme="1"/>
        <rFont val="Aptos Narrow"/>
        <family val="2"/>
        <scheme val="minor"/>
      </rPr>
      <t xml:space="preserve">Question: </t>
    </r>
    <r>
      <rPr>
        <sz val="11"/>
        <color theme="1"/>
        <rFont val="Aptos Narrow"/>
        <family val="2"/>
        <scheme val="minor"/>
      </rPr>
      <t>Which players recorded the strongest average Performance Deviation across multiple Grand Slam tournaments?</t>
    </r>
  </si>
  <si>
    <r>
      <rPr>
        <b/>
        <sz val="11"/>
        <color theme="1"/>
        <rFont val="Aptos Narrow"/>
        <family val="2"/>
        <scheme val="minor"/>
      </rPr>
      <t>Methods used:</t>
    </r>
    <r>
      <rPr>
        <sz val="11"/>
        <color theme="1"/>
        <rFont val="Aptos Narrow"/>
        <family val="2"/>
        <scheme val="minor"/>
      </rPr>
      <t xml:space="preserve"> groupby(), agg(), sort_values() and head()</t>
    </r>
  </si>
  <si>
    <t xml:space="preserve">Python Methodology &amp; Key Commands </t>
  </si>
  <si>
    <r>
      <t xml:space="preserve">• </t>
    </r>
    <r>
      <rPr>
        <b/>
        <sz val="11"/>
        <color theme="1"/>
        <rFont val="Aptos Narrow"/>
        <family val="2"/>
        <scheme val="minor"/>
      </rPr>
      <t>Microsoft Excel</t>
    </r>
    <r>
      <rPr>
        <sz val="11"/>
        <color theme="1"/>
        <rFont val="Aptos Narrow"/>
        <family val="2"/>
        <scheme val="minor"/>
      </rPr>
      <t xml:space="preserve"> — Data organisation, statistical analysis and visualisation</t>
    </r>
  </si>
  <si>
    <r>
      <t xml:space="preserve">• </t>
    </r>
    <r>
      <rPr>
        <b/>
        <sz val="11"/>
        <color theme="1"/>
        <rFont val="Aptos Narrow"/>
        <family val="2"/>
        <scheme val="minor"/>
      </rPr>
      <t>Power Query</t>
    </r>
    <r>
      <rPr>
        <sz val="11"/>
        <color theme="1"/>
        <rFont val="Aptos Narrow"/>
        <family val="2"/>
        <scheme val="minor"/>
      </rPr>
      <t xml:space="preserve"> — Data cleaning and transformation</t>
    </r>
  </si>
  <si>
    <r>
      <t xml:space="preserve">• </t>
    </r>
    <r>
      <rPr>
        <b/>
        <sz val="11"/>
        <color theme="1"/>
        <rFont val="Aptos Narrow"/>
        <family val="2"/>
        <scheme val="minor"/>
      </rPr>
      <t>Python</t>
    </r>
    <r>
      <rPr>
        <sz val="11"/>
        <color theme="1"/>
        <rFont val="Aptos Narrow"/>
        <family val="2"/>
        <scheme val="minor"/>
      </rPr>
      <t xml:space="preserve"> — Data analysis and validation using pandas</t>
    </r>
  </si>
  <si>
    <r>
      <t xml:space="preserve">• </t>
    </r>
    <r>
      <rPr>
        <b/>
        <sz val="11"/>
        <color theme="1"/>
        <rFont val="Aptos Narrow"/>
        <family val="2"/>
        <scheme val="minor"/>
      </rPr>
      <t>Data Import</t>
    </r>
    <r>
      <rPr>
        <sz val="11"/>
        <color theme="1"/>
        <rFont val="Aptos Narrow"/>
        <family val="2"/>
        <scheme val="minor"/>
      </rPr>
      <t xml:space="preserve"> - pd.read_csv()</t>
    </r>
  </si>
  <si>
    <r>
      <t xml:space="preserve">• </t>
    </r>
    <r>
      <rPr>
        <b/>
        <sz val="11"/>
        <color theme="1"/>
        <rFont val="Aptos Narrow"/>
        <family val="2"/>
        <scheme val="minor"/>
      </rPr>
      <t>Ranking groups</t>
    </r>
    <r>
      <rPr>
        <sz val="11"/>
        <color theme="1"/>
        <rFont val="Aptos Narrow"/>
        <family val="2"/>
        <scheme val="minor"/>
      </rPr>
      <t xml:space="preserve"> - pd.cut()</t>
    </r>
  </si>
  <si>
    <r>
      <t>•</t>
    </r>
    <r>
      <rPr>
        <b/>
        <sz val="11"/>
        <color theme="1"/>
        <rFont val="Aptos Narrow"/>
        <family val="2"/>
        <scheme val="minor"/>
      </rPr>
      <t xml:space="preserve"> Group analysis</t>
    </r>
    <r>
      <rPr>
        <sz val="11"/>
        <color theme="1"/>
        <rFont val="Aptos Narrow"/>
        <family val="2"/>
        <scheme val="minor"/>
      </rPr>
      <t xml:space="preserve"> - groupby() + mean()</t>
    </r>
  </si>
  <si>
    <r>
      <t xml:space="preserve">• </t>
    </r>
    <r>
      <rPr>
        <b/>
        <sz val="11"/>
        <color theme="1"/>
        <rFont val="Aptos Narrow"/>
        <family val="2"/>
        <scheme val="minor"/>
      </rPr>
      <t>Variation</t>
    </r>
    <r>
      <rPr>
        <sz val="11"/>
        <color theme="1"/>
        <rFont val="Aptos Narrow"/>
        <family val="2"/>
        <scheme val="minor"/>
      </rPr>
      <t xml:space="preserve"> - groupby() + std() </t>
    </r>
  </si>
  <si>
    <r>
      <t>•</t>
    </r>
    <r>
      <rPr>
        <b/>
        <sz val="11"/>
        <color theme="1"/>
        <rFont val="Aptos Narrow"/>
        <family val="2"/>
        <scheme val="minor"/>
      </rPr>
      <t xml:space="preserve"> Correlation</t>
    </r>
    <r>
      <rPr>
        <sz val="11"/>
        <color theme="1"/>
        <rFont val="Aptos Narrow"/>
        <family val="2"/>
        <scheme val="minor"/>
      </rPr>
      <t xml:space="preserve"> - corr()</t>
    </r>
  </si>
  <si>
    <r>
      <t xml:space="preserve">• </t>
    </r>
    <r>
      <rPr>
        <b/>
        <sz val="11"/>
        <color theme="1"/>
        <rFont val="Aptos Narrow"/>
        <family val="2"/>
        <scheme val="minor"/>
      </rPr>
      <t>Player Analysis</t>
    </r>
    <r>
      <rPr>
        <sz val="11"/>
        <color theme="1"/>
        <rFont val="Aptos Narrow"/>
        <family val="2"/>
        <scheme val="minor"/>
      </rPr>
      <t xml:space="preserve"> - groupby() + agg()</t>
    </r>
  </si>
  <si>
    <r>
      <t>•</t>
    </r>
    <r>
      <rPr>
        <b/>
        <sz val="11"/>
        <color theme="1"/>
        <rFont val="Aptos Narrow"/>
        <family val="2"/>
        <scheme val="minor"/>
      </rPr>
      <t xml:space="preserve"> Ranking results</t>
    </r>
    <r>
      <rPr>
        <sz val="11"/>
        <color theme="1"/>
        <rFont val="Aptos Narrow"/>
        <family val="2"/>
        <scheme val="minor"/>
      </rPr>
      <t xml:space="preserve"> - sort_values() + head()</t>
    </r>
  </si>
  <si>
    <t xml:space="preserve">Data Sources &amp; References </t>
  </si>
  <si>
    <r>
      <t xml:space="preserve">• </t>
    </r>
    <r>
      <rPr>
        <b/>
        <sz val="11"/>
        <color theme="1"/>
        <rFont val="Aptos Narrow"/>
        <family val="2"/>
        <scheme val="minor"/>
      </rPr>
      <t>2025 ATP Match Results Dataset:</t>
    </r>
    <r>
      <rPr>
        <sz val="11"/>
        <color theme="1"/>
        <rFont val="Aptos Narrow"/>
        <family val="2"/>
        <scheme val="minor"/>
      </rPr>
      <t xml:space="preserve"> https://raw.githubusercontent.com/Aneeshers/tennis-sackmann-archive/main/atp/atp_matches_2025.csv</t>
    </r>
  </si>
  <si>
    <r>
      <t xml:space="preserve">• </t>
    </r>
    <r>
      <rPr>
        <b/>
        <sz val="11"/>
        <color theme="1"/>
        <rFont val="Aptos Narrow"/>
        <family val="2"/>
        <scheme val="minor"/>
      </rPr>
      <t>Historical ATP Rankings Dataset:</t>
    </r>
    <r>
      <rPr>
        <sz val="11"/>
        <color theme="1"/>
        <rFont val="Aptos Narrow"/>
        <family val="2"/>
        <scheme val="minor"/>
      </rPr>
      <t xml:space="preserve"> https://raw.githubusercontent.com/Aneeshers/tennis-sackmann-archive/main/atp/atp_rankings_20s.csv</t>
    </r>
  </si>
  <si>
    <r>
      <t xml:space="preserve">• </t>
    </r>
    <r>
      <rPr>
        <b/>
        <sz val="11"/>
        <color theme="1"/>
        <rFont val="Aptos Narrow"/>
        <family val="2"/>
        <scheme val="minor"/>
      </rPr>
      <t>ATP Player Information Dataset:</t>
    </r>
    <r>
      <rPr>
        <sz val="11"/>
        <color theme="1"/>
        <rFont val="Aptos Narrow"/>
        <family val="2"/>
        <scheme val="minor"/>
      </rPr>
      <t xml:space="preserve"> https://raw.githubusercontent.com/azhou5849/tennis-atp-sackmann-data/master/atp_players.csv</t>
    </r>
  </si>
  <si>
    <t>• 'Python Analysis 2' (5) - Players were restricted to those with at least three Grand Slam tournament observations to reduce the influence of players with only one or two appearances. The analysis ranks players by their average Performance Deviation across these tournaments. Among players with at least three Grand Slam observations, Adrian Mannarino recorded the highest average performance deviation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</si>
</sst>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Aptos Narrow"/>
      <family val="2"/>
      <scheme val="minor"/>
    </font>
    <font>
      <i/>
      <sz val="11"/>
      <color theme="1"/>
      <name val="Aptos Narrow"/>
      <family val="2"/>
      <scheme val="minor"/>
    </font>
    <font>
      <sz val="16"/>
      <color rgb="FFFF0000"/>
      <name val="Aptos Narrow"/>
      <family val="2"/>
      <scheme val="minor"/>
    </font>
    <font>
      <sz val="12"/>
      <color theme="1"/>
      <name val="Aptos Narrow"/>
      <family val="2"/>
      <scheme val="minor"/>
    </font>
    <font>
      <b/>
      <sz val="12"/>
      <color theme="1"/>
      <name val="Aptos Narrow"/>
      <family val="2"/>
      <scheme val="minor"/>
    </font>
    <font>
      <b/>
      <sz val="24"/>
      <color rgb="FF92D050"/>
      <name val="Aptos Narrow"/>
      <family val="2"/>
      <scheme val="minor"/>
    </font>
    <font>
      <b/>
      <sz val="24"/>
      <color rgb="FF7030A0"/>
      <name val="Aptos Narrow"/>
      <family val="2"/>
      <scheme val="minor"/>
    </font>
    <font>
      <sz val="8"/>
      <name val="Aptos Narrow"/>
      <family val="2"/>
      <scheme val="minor"/>
    </font>
    <font>
      <b/>
      <sz val="11"/>
      <color theme="1"/>
      <name val="Aptos Narrow"/>
      <family val="2"/>
      <scheme val="minor"/>
    </font>
    <font>
      <u/>
      <sz val="11"/>
      <color theme="1"/>
      <name val="Aptos Narrow"/>
      <family val="2"/>
      <scheme val="minor"/>
    </font>
    <font>
      <b/>
      <sz val="24"/>
      <color rgb="FF002060"/>
      <name val="Aptos Narrow"/>
      <family val="2"/>
      <scheme val="minor"/>
    </font>
    <font>
      <b/>
      <u/>
      <sz val="16"/>
      <color rgb="FF00B0F0"/>
      <name val="Aptos Narrow"/>
      <family val="2"/>
      <scheme val="minor"/>
    </font>
    <font>
      <b/>
      <sz val="24"/>
      <color theme="5" tint="-0.249977111117893"/>
      <name val="Aptos Narrow"/>
      <family val="2"/>
      <scheme val="minor"/>
    </font>
    <font>
      <b/>
      <sz val="12"/>
      <color rgb="FF00B0F0"/>
      <name val="Aptos Narrow"/>
      <family val="2"/>
      <scheme val="minor"/>
    </font>
    <font>
      <sz val="11"/>
      <color theme="5" tint="-0.249977111117893"/>
      <name val="Aptos Narrow"/>
      <family val="2"/>
      <scheme val="minor"/>
    </font>
    <font>
      <b/>
      <sz val="12"/>
      <color rgb="FF92D050"/>
      <name val="Aptos Narrow"/>
      <family val="2"/>
      <scheme val="minor"/>
    </font>
    <font>
      <b/>
      <sz val="12"/>
      <color rgb="FFFF0000"/>
      <name val="Aptos Narrow"/>
      <family val="2"/>
      <scheme val="minor"/>
    </font>
    <font>
      <b/>
      <sz val="12"/>
      <color rgb="FFA39782"/>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61">
    <xf numFmtId="0" fontId="0" fillId="0" borderId="0" xfId="0"/>
    <xf numFmtId="0" fontId="0" fillId="0" borderId="0" xfId="0" applyAlignment="1">
      <alignment horizontal="center"/>
    </xf>
    <xf numFmtId="0" fontId="2" fillId="0" borderId="0" xfId="0" applyFont="1"/>
    <xf numFmtId="0" fontId="3" fillId="0" borderId="0" xfId="0" applyFont="1"/>
    <xf numFmtId="0" fontId="0" fillId="0" borderId="1" xfId="0" applyBorder="1" applyAlignment="1">
      <alignment horizontal="center"/>
    </xf>
    <xf numFmtId="14" fontId="0" fillId="0" borderId="1" xfId="0" applyNumberFormat="1" applyBorder="1" applyAlignment="1">
      <alignment horizontal="center"/>
    </xf>
    <xf numFmtId="0" fontId="4" fillId="0" borderId="1" xfId="0" applyFont="1" applyBorder="1" applyAlignment="1">
      <alignment horizontal="center"/>
    </xf>
    <xf numFmtId="0" fontId="5" fillId="0" borderId="0" xfId="0" applyFont="1"/>
    <xf numFmtId="0" fontId="1" fillId="0" borderId="0" xfId="0" applyFont="1"/>
    <xf numFmtId="0" fontId="0" fillId="2" borderId="3" xfId="0" applyFill="1" applyBorder="1" applyAlignment="1">
      <alignment horizontal="center"/>
    </xf>
    <xf numFmtId="0" fontId="0" fillId="2" borderId="5" xfId="0" applyFill="1" applyBorder="1" applyAlignment="1">
      <alignment horizontal="center"/>
    </xf>
    <xf numFmtId="0" fontId="0" fillId="2" borderId="4" xfId="0" applyFill="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0" fillId="0" borderId="7" xfId="0" applyBorder="1" applyAlignment="1">
      <alignment horizontal="center"/>
    </xf>
    <xf numFmtId="0" fontId="0" fillId="0" borderId="8" xfId="0"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4" fillId="0" borderId="15" xfId="0" applyFont="1" applyBorder="1" applyAlignment="1">
      <alignment horizontal="center"/>
    </xf>
    <xf numFmtId="164" fontId="0" fillId="0" borderId="1" xfId="0" applyNumberFormat="1" applyBorder="1" applyAlignment="1">
      <alignment horizontal="center"/>
    </xf>
    <xf numFmtId="0" fontId="9" fillId="0" borderId="0" xfId="0" applyFont="1" applyAlignment="1">
      <alignment horizontal="center"/>
    </xf>
    <xf numFmtId="0" fontId="8"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wrapText="1"/>
    </xf>
    <xf numFmtId="0" fontId="6" fillId="0" borderId="0" xfId="0" applyFont="1"/>
    <xf numFmtId="0" fontId="0" fillId="0" borderId="0" xfId="0" applyAlignment="1">
      <alignment horizontal="center" wrapText="1"/>
    </xf>
    <xf numFmtId="16" fontId="0" fillId="0" borderId="1" xfId="0" quotePrefix="1" applyNumberFormat="1" applyBorder="1" applyAlignment="1">
      <alignment horizontal="center"/>
    </xf>
    <xf numFmtId="0" fontId="0" fillId="0" borderId="1" xfId="0" quotePrefix="1" applyBorder="1" applyAlignment="1">
      <alignment horizontal="center"/>
    </xf>
    <xf numFmtId="0" fontId="0" fillId="0" borderId="0" xfId="0" applyAlignment="1">
      <alignment wrapText="1"/>
    </xf>
    <xf numFmtId="0" fontId="0" fillId="0" borderId="0" xfId="0" applyAlignment="1">
      <alignment horizontal="center" vertical="center" wrapText="1"/>
    </xf>
    <xf numFmtId="2" fontId="0" fillId="0" borderId="1" xfId="0" applyNumberFormat="1"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0" fillId="0" borderId="1" xfId="0" quotePrefix="1" applyBorder="1" applyAlignment="1">
      <alignment horizontal="center" vertical="center" wrapText="1"/>
    </xf>
    <xf numFmtId="0" fontId="0" fillId="0" borderId="0" xfId="0" applyAlignment="1">
      <alignment horizontal="left" wrapText="1"/>
    </xf>
    <xf numFmtId="0" fontId="11" fillId="0" borderId="0" xfId="0" applyFont="1"/>
    <xf numFmtId="0" fontId="13" fillId="0" borderId="15" xfId="0" applyFont="1" applyBorder="1" applyAlignment="1">
      <alignment horizontal="center"/>
    </xf>
    <xf numFmtId="0" fontId="14" fillId="0" borderId="0" xfId="0" applyFont="1"/>
    <xf numFmtId="0" fontId="15" fillId="0" borderId="15" xfId="0" applyFont="1" applyBorder="1"/>
    <xf numFmtId="0" fontId="16" fillId="0" borderId="15" xfId="0" applyFont="1" applyBorder="1" applyAlignment="1">
      <alignment horizontal="center"/>
    </xf>
    <xf numFmtId="0" fontId="12" fillId="0" borderId="0" xfId="0" applyFont="1"/>
    <xf numFmtId="0" fontId="10" fillId="0" borderId="0" xfId="0" applyFont="1"/>
    <xf numFmtId="0" fontId="17" fillId="0" borderId="15" xfId="0" applyFont="1" applyBorder="1"/>
    <xf numFmtId="0" fontId="17" fillId="0" borderId="15" xfId="0" applyFont="1" applyBorder="1" applyAlignment="1">
      <alignment horizontal="left"/>
    </xf>
    <xf numFmtId="0" fontId="0" fillId="0" borderId="0" xfId="0" applyAlignment="1">
      <alignment horizontal="left" wrapText="1"/>
    </xf>
    <xf numFmtId="0" fontId="0" fillId="0" borderId="0" xfId="0" applyAlignment="1">
      <alignment horizontal="center" wrapText="1"/>
    </xf>
    <xf numFmtId="0" fontId="1" fillId="0" borderId="0" xfId="0" applyFont="1" applyAlignment="1">
      <alignment horizontal="center"/>
    </xf>
    <xf numFmtId="0" fontId="10" fillId="0" borderId="2" xfId="0" applyFont="1" applyBorder="1" applyAlignment="1">
      <alignment horizontal="center"/>
    </xf>
    <xf numFmtId="0" fontId="11" fillId="0" borderId="0" xfId="0" applyFont="1" applyAlignment="1">
      <alignment horizontal="left" wrapText="1"/>
    </xf>
    <xf numFmtId="0" fontId="12" fillId="0" borderId="2" xfId="0" applyFont="1" applyBorder="1" applyAlignment="1">
      <alignment horizontal="center"/>
    </xf>
    <xf numFmtId="0" fontId="1" fillId="0" borderId="6" xfId="0" applyFont="1" applyBorder="1" applyAlignment="1">
      <alignment horizontal="center"/>
    </xf>
    <xf numFmtId="0" fontId="6" fillId="0" borderId="2" xfId="0" applyFont="1" applyBorder="1" applyAlignment="1">
      <alignment horizontal="center"/>
    </xf>
  </cellXfs>
  <cellStyles count="1">
    <cellStyle name="Normal" xfId="0" builtinId="0"/>
  </cellStyles>
  <dxfs count="39">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A39782"/>
      <color rgb="FFC8B195"/>
      <color rgb="FFAC1818"/>
      <color rgb="FFE6D7B8"/>
      <color rgb="FFFFFD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7620</xdr:rowOff>
    </xdr:from>
    <xdr:to>
      <xdr:col>7</xdr:col>
      <xdr:colOff>0</xdr:colOff>
      <xdr:row>17</xdr:row>
      <xdr:rowOff>171451</xdr:rowOff>
    </xdr:to>
    <xdr:sp macro="" textlink="">
      <xdr:nvSpPr>
        <xdr:cNvPr id="2" name="TextBox 1">
          <a:extLst>
            <a:ext uri="{FF2B5EF4-FFF2-40B4-BE49-F238E27FC236}">
              <a16:creationId xmlns:a16="http://schemas.microsoft.com/office/drawing/2014/main" id="{F9EFEAE5-330D-4F19-A2C5-2CAA9A2345E3}"/>
            </a:ext>
          </a:extLst>
        </xdr:cNvPr>
        <xdr:cNvSpPr txBox="1"/>
      </xdr:nvSpPr>
      <xdr:spPr>
        <a:xfrm>
          <a:off x="8324850" y="3562350"/>
          <a:ext cx="7324725" cy="21488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b="0"/>
            <a:t>•</a:t>
          </a:r>
          <a:r>
            <a:rPr lang="en-GB" b="0" baseline="0"/>
            <a:t> </a:t>
          </a:r>
          <a:r>
            <a:rPr lang="en-GB" b="0"/>
            <a:t>Expected performance is a significant predictor of actual performance. The positive coefficient of 0.5873 and very small p-value (2.12 × 10⁻⁴⁶) show a strong statistical relationship. </a:t>
          </a:r>
        </a:p>
        <a:p>
          <a:pPr lvl="0"/>
          <a:endParaRPr lang="en-GB" b="0"/>
        </a:p>
        <a:p>
          <a:pPr lvl="0"/>
          <a:r>
            <a:rPr lang="en-GB" b="0"/>
            <a:t>• The relationship is positive but less than proportional. A 1-point increase in expected score is associated with a 0.59-point increase in actual score on average. </a:t>
          </a:r>
        </a:p>
        <a:p>
          <a:pPr lvl="0"/>
          <a:endParaRPr lang="en-GB" b="0"/>
        </a:p>
        <a:p>
          <a:pPr lvl="0"/>
          <a:r>
            <a:rPr lang="en-GB" b="0"/>
            <a:t>• Expected score explains 33.1% of actual performance variation. The R² of 0.3307 shows that other factors also play an important role in determining tournament performance. </a:t>
          </a:r>
        </a:p>
        <a:p>
          <a:pPr lvl="0"/>
          <a:endParaRPr lang="en-GB" b="0"/>
        </a:p>
        <a:p>
          <a:pPr lvl="0"/>
          <a:r>
            <a:rPr lang="en-GB" b="0"/>
            <a:t>• Considerable variation remains unexplained. The standard error of 1.1248 suggests actual scores can differ noticeably from those predicted by the model. </a:t>
          </a: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7" xr16:uid="{A34F6D97-BFBA-4862-8A82-1B27E0E579D2}" autoFormatId="16" applyNumberFormats="0" applyBorderFormats="0" applyFontFormats="0" applyPatternFormats="0" applyAlignmentFormats="0" applyWidthHeightFormats="0">
  <queryTableRefresh nextId="19">
    <queryTableFields count="10">
      <queryTableField id="4" name="Ranking Before Tournament" tableColumnId="4"/>
      <queryTableField id="3" name="Seed" tableColumnId="3"/>
      <queryTableField id="5" name="ActualRound" tableColumnId="5"/>
      <queryTableField id="6" name="ActualScore" tableColumnId="6"/>
      <queryTableField id="7" name="Matches Played " tableColumnId="7"/>
      <queryTableField id="8" name="Matches Won " tableColumnId="8"/>
      <queryTableField id="9" name="Matches Lost" tableColumnId="9"/>
      <queryTableField id="10" name="Expected Round " tableColumnId="10"/>
      <queryTableField id="11" name="ExpectedScore" tableColumnId="11"/>
      <queryTableField id="12" name="PerformanceDeviation " tableColumnId="12"/>
    </queryTableFields>
    <queryTableDeletedFields count="4">
      <deletedField name="Player"/>
      <deletedField name="Tournament"/>
      <deletedField name="Player"/>
      <deletedField name="Tournament"/>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4BCDA1-6C2D-4947-8C51-A5B81A3C2DE3}" name="Austrtalian_Open_Player_Data" displayName="Austrtalian_Open_Player_Data" ref="A4:B132" totalsRowShown="0" headerRowDxfId="38" dataDxfId="37">
  <autoFilter ref="A4:B132" xr:uid="{864BCDA1-6C2D-4947-8C51-A5B81A3C2DE3}"/>
  <tableColumns count="2">
    <tableColumn id="1" xr3:uid="{C212210F-4D72-4EAD-B533-389EACD1AA36}" name="Tournament" dataDxfId="36"/>
    <tableColumn id="2" xr3:uid="{9CAFE217-C994-4B09-B1AB-7C43A6E50B3F}" name="Player"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697AEA3-956C-4B17-9EC1-C8B527B5B9E2}" name="Australian_Open_Player_Analysis18" displayName="Australian_Open_Player_Analysis18" ref="C4:L132" tableType="queryTable" totalsRowShown="0" headerRowDxfId="34" dataDxfId="33">
  <autoFilter ref="C4:L132" xr:uid="{D697AEA3-956C-4B17-9EC1-C8B527B5B9E2}"/>
  <tableColumns count="10">
    <tableColumn id="4" xr3:uid="{22B6FF22-D4CF-44AE-B1B2-27646D85C5B4}" uniqueName="4" name="Ranking Before Tournament" queryTableFieldId="4" dataDxfId="32"/>
    <tableColumn id="3" xr3:uid="{C8728D86-D7C8-4FFC-9D2D-44FF235E8CA6}" uniqueName="3" name="Seed" queryTableFieldId="3" dataDxfId="31"/>
    <tableColumn id="5" xr3:uid="{21CC784D-56FA-46DB-8EFC-265178428E94}" uniqueName="5" name="ActualRound" queryTableFieldId="5" dataDxfId="30"/>
    <tableColumn id="6" xr3:uid="{B3F27291-992F-44E6-A87E-56BE10CC40EE}" uniqueName="6" name="ActualScore" queryTableFieldId="6" dataDxfId="29"/>
    <tableColumn id="7" xr3:uid="{3924387E-F3C8-4EB1-AF11-CD6EC1D6AEAE}" uniqueName="7" name="Matches Played " queryTableFieldId="7" dataDxfId="28"/>
    <tableColumn id="8" xr3:uid="{0724A274-60F3-4076-B148-87EC7A9C0D59}" uniqueName="8" name="Matches Won " queryTableFieldId="8" dataDxfId="27"/>
    <tableColumn id="9" xr3:uid="{E9442672-38FE-437F-8EB7-9D0FCC914CA9}" uniqueName="9" name="Matches Lost" queryTableFieldId="9" dataDxfId="26"/>
    <tableColumn id="10" xr3:uid="{59B6A5D2-8750-4B27-A6B3-311A96B0FD76}" uniqueName="10" name="Expected Round " queryTableFieldId="10" dataDxfId="25"/>
    <tableColumn id="11" xr3:uid="{75D3DAB4-06C7-44E0-876C-01F6291D1955}" uniqueName="11" name="ExpectedScore" queryTableFieldId="11" dataDxfId="24"/>
    <tableColumn id="12" xr3:uid="{4105924F-6875-4261-8A5A-56251B1411D5}" uniqueName="12" name="PerformanceDeviation " queryTableFieldId="12"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C44D82-2F85-4204-8356-674AB6160FF4}" name="atp_matches_2025" displayName="atp_matches_2025" ref="A4:G512" totalsRowShown="0" headerRowDxfId="22" dataDxfId="21">
  <autoFilter ref="A4:G512" xr:uid="{D4C44D82-2F85-4204-8356-674AB6160FF4}"/>
  <tableColumns count="7">
    <tableColumn id="1" xr3:uid="{18DB1791-D22F-40C5-A879-365110D1FD1B}" name="Tournament" dataDxfId="20"/>
    <tableColumn id="2" xr3:uid="{0F1EDA82-6D25-4684-A1EB-0BF4ABCBC7BD}" name="Round" dataDxfId="19"/>
    <tableColumn id="3" xr3:uid="{A01ECD15-D4F2-45FA-8AAB-62DAE85F6296}" name="Winner" dataDxfId="18"/>
    <tableColumn id="4" xr3:uid="{64361576-24FC-4F66-9ECC-C6F4B605E1AA}" name="Loser" dataDxfId="17"/>
    <tableColumn id="5" xr3:uid="{FE5CB072-604A-4161-8D8A-7A8102380521}" name="Winner Ranking" dataDxfId="16"/>
    <tableColumn id="6" xr3:uid="{5AD6B076-D1C4-4D5F-A374-3481FAAAF48B}" name="Loser Ranking" dataDxfId="15"/>
    <tableColumn id="7" xr3:uid="{B8A0557C-14E8-4FA4-9E11-9885368B31AE}" name="Score"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064349-D609-47A0-A2AB-DF36366C3BBB}" name="ExpectedActual" displayName="ExpectedActual" ref="A4:I516" totalsRowShown="0" headerRowDxfId="13" dataDxfId="11" headerRowBorderDxfId="12" tableBorderDxfId="10" totalsRowBorderDxfId="9">
  <autoFilter ref="A4:I516" xr:uid="{0A064349-D609-47A0-A2AB-DF36366C3BBB}"/>
  <tableColumns count="9">
    <tableColumn id="1" xr3:uid="{F99D4C72-B9D9-40CA-AE73-2B01EB496351}" name="Tournament " dataDxfId="8">
      <calculatedColumnFormula>'Raw Data'!A5</calculatedColumnFormula>
    </tableColumn>
    <tableColumn id="2" xr3:uid="{9D761AC2-6CB9-4CA8-A88C-2AFF885A9D68}" name="Player" dataDxfId="7">
      <calculatedColumnFormula>'Raw Data'!B5</calculatedColumnFormula>
    </tableColumn>
    <tableColumn id="3" xr3:uid="{57B32107-2197-4A77-A2C9-6A7B9A20905E}" name="Ranking Before Tournament " dataDxfId="6">
      <calculatedColumnFormula>'Raw Data'!C5</calculatedColumnFormula>
    </tableColumn>
    <tableColumn id="4" xr3:uid="{91E78C33-27A1-4906-A907-672D48D1F3F0}" name="Seed" dataDxfId="5">
      <calculatedColumnFormula>'Raw Data'!D5</calculatedColumnFormula>
    </tableColumn>
    <tableColumn id="5" xr3:uid="{D30C941E-3A3B-4131-BA26-D85D4652C0B7}" name="Expected Round " dataDxfId="4">
      <calculatedColumnFormula>'Raw Data'!J5</calculatedColumnFormula>
    </tableColumn>
    <tableColumn id="6" xr3:uid="{E588BF4D-C278-4396-88FC-845A39E335FB}" name="Expected Score" dataDxfId="3">
      <calculatedColumnFormula>'Raw Data'!K5</calculatedColumnFormula>
    </tableColumn>
    <tableColumn id="7" xr3:uid="{0EC5D96F-A4CA-482D-B9A9-53C75B695A75}" name="Actual Round " dataDxfId="2">
      <calculatedColumnFormula>'Raw Data'!E5</calculatedColumnFormula>
    </tableColumn>
    <tableColumn id="8" xr3:uid="{805602BB-779F-4D3D-AF07-C505004E2929}" name="Actual Score" dataDxfId="1">
      <calculatedColumnFormula>'Raw Data'!F5</calculatedColumnFormula>
    </tableColumn>
    <tableColumn id="9" xr3:uid="{F15CAC8A-A5DA-42D4-9EB7-2CF594087247}" name="Performance Deviation " dataDxfId="0">
      <calculatedColumnFormula>'Raw Data'!L5</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88A0C-CD6F-423F-9A53-EAD1CCA3CC3D}">
  <dimension ref="A1:M58"/>
  <sheetViews>
    <sheetView showGridLines="0" tabSelected="1" workbookViewId="0">
      <selection activeCell="A34" sqref="A34"/>
    </sheetView>
  </sheetViews>
  <sheetFormatPr defaultRowHeight="14.4" x14ac:dyDescent="0.3"/>
  <sheetData>
    <row r="1" spans="1:13" ht="31.8" thickBot="1" x14ac:dyDescent="0.65">
      <c r="A1" s="56" t="s">
        <v>0</v>
      </c>
      <c r="B1" s="56"/>
      <c r="C1" s="56"/>
      <c r="D1" s="56"/>
      <c r="E1" s="56"/>
      <c r="F1" s="56"/>
      <c r="G1" s="56"/>
      <c r="H1" s="56"/>
      <c r="I1" s="56"/>
      <c r="J1" s="56"/>
      <c r="K1" s="56"/>
      <c r="L1" s="56"/>
      <c r="M1" s="56"/>
    </row>
    <row r="2" spans="1:13" x14ac:dyDescent="0.3">
      <c r="A2" s="55" t="s">
        <v>1</v>
      </c>
      <c r="B2" s="55"/>
      <c r="C2" s="55"/>
      <c r="D2" s="55"/>
      <c r="E2" s="55"/>
      <c r="F2" s="55"/>
      <c r="G2" s="55"/>
      <c r="H2" s="55"/>
      <c r="I2" s="55"/>
      <c r="J2" s="55"/>
      <c r="K2" s="55"/>
      <c r="L2" s="55"/>
      <c r="M2" s="55"/>
    </row>
    <row r="4" spans="1:13" ht="21" x14ac:dyDescent="0.4">
      <c r="A4" s="44" t="s">
        <v>2</v>
      </c>
    </row>
    <row r="6" spans="1:13" ht="15.6" x14ac:dyDescent="0.3">
      <c r="A6" s="3" t="s">
        <v>3</v>
      </c>
    </row>
    <row r="9" spans="1:13" ht="21" x14ac:dyDescent="0.4">
      <c r="A9" s="44" t="s">
        <v>4</v>
      </c>
    </row>
    <row r="10" spans="1:13" ht="21" x14ac:dyDescent="0.4">
      <c r="A10" s="2"/>
    </row>
    <row r="11" spans="1:13" x14ac:dyDescent="0.3">
      <c r="A11" t="s">
        <v>5</v>
      </c>
    </row>
    <row r="12" spans="1:13" x14ac:dyDescent="0.3">
      <c r="A12" t="s">
        <v>6</v>
      </c>
    </row>
    <row r="13" spans="1:13" x14ac:dyDescent="0.3">
      <c r="A13" t="s">
        <v>7</v>
      </c>
    </row>
    <row r="14" spans="1:13" x14ac:dyDescent="0.3">
      <c r="A14" t="s">
        <v>8</v>
      </c>
    </row>
    <row r="15" spans="1:13" x14ac:dyDescent="0.3">
      <c r="A15" t="s">
        <v>9</v>
      </c>
    </row>
    <row r="16" spans="1:13" x14ac:dyDescent="0.3">
      <c r="A16" t="s">
        <v>10</v>
      </c>
    </row>
    <row r="19" spans="1:10" ht="21" x14ac:dyDescent="0.4">
      <c r="A19" s="44" t="s">
        <v>11</v>
      </c>
    </row>
    <row r="21" spans="1:10" x14ac:dyDescent="0.3">
      <c r="A21" t="s">
        <v>12</v>
      </c>
    </row>
    <row r="22" spans="1:10" x14ac:dyDescent="0.3">
      <c r="A22" t="s">
        <v>13</v>
      </c>
    </row>
    <row r="23" spans="1:10" x14ac:dyDescent="0.3">
      <c r="A23" t="s">
        <v>14</v>
      </c>
    </row>
    <row r="24" spans="1:10" x14ac:dyDescent="0.3">
      <c r="A24" t="s">
        <v>15</v>
      </c>
    </row>
    <row r="27" spans="1:10" ht="21" x14ac:dyDescent="0.4">
      <c r="A27" s="44" t="s">
        <v>398</v>
      </c>
    </row>
    <row r="29" spans="1:10" ht="46.8" customHeight="1" x14ac:dyDescent="0.3">
      <c r="A29" s="54" t="s">
        <v>399</v>
      </c>
      <c r="B29" s="54"/>
      <c r="C29" s="54"/>
      <c r="D29" s="54"/>
      <c r="E29" s="54"/>
      <c r="F29" s="54"/>
      <c r="G29" s="54"/>
      <c r="H29" s="54"/>
      <c r="I29" s="54"/>
      <c r="J29" s="54"/>
    </row>
    <row r="30" spans="1:10" ht="43.8" customHeight="1" x14ac:dyDescent="0.3">
      <c r="A30" s="54" t="s">
        <v>400</v>
      </c>
      <c r="B30" s="54"/>
      <c r="C30" s="54"/>
      <c r="D30" s="54"/>
      <c r="E30" s="54"/>
      <c r="F30" s="54"/>
      <c r="G30" s="54"/>
      <c r="H30" s="54"/>
      <c r="I30" s="54"/>
      <c r="J30" s="54"/>
    </row>
    <row r="31" spans="1:10" ht="43.2" customHeight="1" x14ac:dyDescent="0.3">
      <c r="A31" s="54" t="s">
        <v>740</v>
      </c>
      <c r="B31" s="54"/>
      <c r="C31" s="54"/>
      <c r="D31" s="54"/>
      <c r="E31" s="54"/>
      <c r="F31" s="54"/>
      <c r="G31" s="54"/>
      <c r="H31" s="54"/>
      <c r="I31" s="54"/>
      <c r="J31" s="54"/>
    </row>
    <row r="32" spans="1:10" ht="42.6" customHeight="1" x14ac:dyDescent="0.3">
      <c r="A32" s="54" t="s">
        <v>741</v>
      </c>
      <c r="B32" s="54"/>
      <c r="C32" s="54"/>
      <c r="D32" s="54"/>
      <c r="E32" s="54"/>
      <c r="F32" s="54"/>
      <c r="G32" s="54"/>
      <c r="H32" s="54"/>
      <c r="I32" s="54"/>
      <c r="J32" s="54"/>
    </row>
    <row r="33" spans="1:10" ht="70.8" customHeight="1" x14ac:dyDescent="0.3">
      <c r="A33" s="54" t="s">
        <v>847</v>
      </c>
      <c r="B33" s="54"/>
      <c r="C33" s="54"/>
      <c r="D33" s="54"/>
      <c r="E33" s="54"/>
      <c r="F33" s="54"/>
      <c r="G33" s="54"/>
      <c r="H33" s="54"/>
      <c r="I33" s="54"/>
      <c r="J33" s="54"/>
    </row>
    <row r="34" spans="1:10" ht="13.8" customHeight="1" x14ac:dyDescent="0.3">
      <c r="A34" s="33"/>
      <c r="B34" s="33"/>
      <c r="C34" s="33"/>
      <c r="D34" s="33"/>
      <c r="E34" s="33"/>
      <c r="F34" s="33"/>
      <c r="G34" s="33"/>
      <c r="H34" s="33"/>
      <c r="I34" s="33"/>
      <c r="J34" s="33"/>
    </row>
    <row r="35" spans="1:10" ht="13.8" customHeight="1" x14ac:dyDescent="0.3">
      <c r="A35" s="33"/>
      <c r="B35" s="33"/>
      <c r="C35" s="33"/>
      <c r="D35" s="33"/>
      <c r="E35" s="33"/>
      <c r="F35" s="33"/>
      <c r="G35" s="33"/>
      <c r="H35" s="33"/>
      <c r="I35" s="33"/>
      <c r="J35" s="33"/>
    </row>
    <row r="36" spans="1:10" ht="19.8" customHeight="1" x14ac:dyDescent="0.4">
      <c r="A36" s="44" t="s">
        <v>832</v>
      </c>
      <c r="B36" s="33"/>
      <c r="C36" s="33"/>
      <c r="D36" s="33"/>
      <c r="E36" s="33"/>
      <c r="F36" s="33"/>
      <c r="G36" s="33"/>
      <c r="H36" s="33"/>
      <c r="I36" s="33"/>
      <c r="J36" s="33"/>
    </row>
    <row r="37" spans="1:10" ht="13.8" customHeight="1" x14ac:dyDescent="0.3">
      <c r="A37" s="1"/>
      <c r="B37" s="33"/>
      <c r="C37" s="33"/>
      <c r="D37" s="33"/>
      <c r="E37" s="33"/>
      <c r="F37" s="33"/>
      <c r="G37" s="33"/>
      <c r="H37" s="33"/>
      <c r="I37" s="33"/>
      <c r="J37" s="33"/>
    </row>
    <row r="38" spans="1:10" ht="13.8" customHeight="1" x14ac:dyDescent="0.3">
      <c r="A38" t="s">
        <v>836</v>
      </c>
    </row>
    <row r="39" spans="1:10" ht="13.8" customHeight="1" x14ac:dyDescent="0.3">
      <c r="A39" s="53" t="s">
        <v>837</v>
      </c>
      <c r="B39" s="53"/>
      <c r="C39" s="53"/>
      <c r="D39" s="53"/>
      <c r="E39" s="53"/>
      <c r="F39" s="53"/>
      <c r="G39" s="53"/>
      <c r="H39" s="53"/>
      <c r="I39" s="53"/>
      <c r="J39" s="53"/>
    </row>
    <row r="40" spans="1:10" ht="13.8" customHeight="1" x14ac:dyDescent="0.3">
      <c r="A40" s="53" t="s">
        <v>838</v>
      </c>
      <c r="B40" s="53"/>
      <c r="C40" s="53"/>
      <c r="D40" s="53"/>
      <c r="E40" s="53"/>
      <c r="F40" s="53"/>
      <c r="G40" s="53"/>
      <c r="H40" s="53"/>
      <c r="I40" s="53"/>
      <c r="J40" s="53"/>
    </row>
    <row r="41" spans="1:10" ht="14.4" customHeight="1" x14ac:dyDescent="0.3">
      <c r="A41" s="53" t="s">
        <v>839</v>
      </c>
      <c r="B41" s="53"/>
      <c r="C41" s="53"/>
      <c r="D41" s="53"/>
      <c r="E41" s="53"/>
      <c r="F41" s="53"/>
      <c r="G41" s="53"/>
      <c r="H41" s="53"/>
      <c r="I41" s="53"/>
      <c r="J41" s="53"/>
    </row>
    <row r="42" spans="1:10" ht="14.4" customHeight="1" x14ac:dyDescent="0.3">
      <c r="A42" s="53" t="s">
        <v>840</v>
      </c>
      <c r="B42" s="53"/>
      <c r="C42" s="53"/>
      <c r="D42" s="53"/>
      <c r="E42" s="53"/>
      <c r="F42" s="53"/>
      <c r="G42" s="53"/>
      <c r="H42" s="53"/>
      <c r="I42" s="53"/>
      <c r="J42" s="53"/>
    </row>
    <row r="43" spans="1:10" ht="14.4" customHeight="1" x14ac:dyDescent="0.3">
      <c r="A43" s="53" t="s">
        <v>841</v>
      </c>
      <c r="B43" s="53"/>
      <c r="C43" s="53"/>
      <c r="D43" s="53"/>
      <c r="E43" s="53"/>
      <c r="F43" s="53"/>
      <c r="G43" s="53"/>
      <c r="H43" s="53"/>
      <c r="I43" s="53"/>
      <c r="J43" s="53"/>
    </row>
    <row r="44" spans="1:10" ht="14.4" customHeight="1" x14ac:dyDescent="0.3">
      <c r="A44" s="53" t="s">
        <v>842</v>
      </c>
      <c r="B44" s="53"/>
      <c r="C44" s="53"/>
      <c r="D44" s="53"/>
      <c r="E44" s="53"/>
      <c r="F44" s="53"/>
      <c r="G44" s="53"/>
      <c r="H44" s="53"/>
      <c r="I44" s="53"/>
      <c r="J44" s="53"/>
    </row>
    <row r="45" spans="1:10" ht="14.4" customHeight="1" x14ac:dyDescent="0.3">
      <c r="A45" s="43"/>
      <c r="B45" s="43"/>
      <c r="C45" s="43"/>
      <c r="D45" s="43"/>
      <c r="E45" s="43"/>
      <c r="F45" s="43"/>
      <c r="G45" s="43"/>
      <c r="H45" s="43"/>
      <c r="I45" s="43"/>
      <c r="J45" s="43"/>
    </row>
    <row r="46" spans="1:10" ht="14.4" customHeight="1" x14ac:dyDescent="0.3">
      <c r="A46" s="36"/>
      <c r="B46" s="36"/>
      <c r="C46" s="36"/>
      <c r="D46" s="36"/>
      <c r="E46" s="36"/>
      <c r="F46" s="36"/>
      <c r="G46" s="36"/>
      <c r="H46" s="36"/>
      <c r="I46" s="36"/>
    </row>
    <row r="47" spans="1:10" ht="17.399999999999999" customHeight="1" x14ac:dyDescent="0.4">
      <c r="A47" s="57" t="s">
        <v>843</v>
      </c>
      <c r="B47" s="57"/>
      <c r="C47" s="57"/>
      <c r="D47" s="57"/>
      <c r="E47" s="57"/>
      <c r="F47" s="57"/>
      <c r="G47" s="57"/>
      <c r="H47" s="57"/>
      <c r="I47" s="57"/>
      <c r="J47" s="57"/>
    </row>
    <row r="48" spans="1:10" ht="14.4" customHeight="1" x14ac:dyDescent="0.3">
      <c r="A48" s="43"/>
      <c r="B48" s="43"/>
      <c r="C48" s="43"/>
      <c r="D48" s="43"/>
      <c r="E48" s="43"/>
      <c r="F48" s="43"/>
      <c r="G48" s="43"/>
      <c r="H48" s="43"/>
      <c r="I48" s="43"/>
      <c r="J48" s="43"/>
    </row>
    <row r="49" spans="1:10" ht="30.6" customHeight="1" x14ac:dyDescent="0.3">
      <c r="A49" s="53" t="s">
        <v>844</v>
      </c>
      <c r="B49" s="53"/>
      <c r="C49" s="53"/>
      <c r="D49" s="53"/>
      <c r="E49" s="53"/>
      <c r="F49" s="53"/>
      <c r="G49" s="53"/>
      <c r="H49" s="53"/>
      <c r="I49" s="53"/>
      <c r="J49" s="53"/>
    </row>
    <row r="50" spans="1:10" ht="31.2" customHeight="1" x14ac:dyDescent="0.3">
      <c r="A50" s="53" t="s">
        <v>845</v>
      </c>
      <c r="B50" s="53"/>
      <c r="C50" s="53"/>
      <c r="D50" s="53"/>
      <c r="E50" s="53"/>
      <c r="F50" s="53"/>
      <c r="G50" s="53"/>
      <c r="H50" s="53"/>
      <c r="I50" s="53"/>
      <c r="J50" s="53"/>
    </row>
    <row r="51" spans="1:10" ht="31.8" customHeight="1" x14ac:dyDescent="0.3">
      <c r="A51" s="54" t="s">
        <v>846</v>
      </c>
      <c r="B51" s="54"/>
      <c r="C51" s="54"/>
      <c r="D51" s="54"/>
      <c r="E51" s="54"/>
      <c r="F51" s="54"/>
      <c r="G51" s="54"/>
      <c r="H51" s="54"/>
      <c r="I51" s="54"/>
      <c r="J51" s="54"/>
    </row>
    <row r="52" spans="1:10" ht="14.4" customHeight="1" x14ac:dyDescent="0.3">
      <c r="A52" s="43"/>
      <c r="B52" s="43"/>
      <c r="C52" s="43"/>
      <c r="D52" s="43"/>
      <c r="E52" s="43"/>
      <c r="F52" s="43"/>
      <c r="G52" s="43"/>
      <c r="H52" s="43"/>
      <c r="I52" s="43"/>
      <c r="J52" s="43"/>
    </row>
    <row r="53" spans="1:10" ht="14.4" customHeight="1" x14ac:dyDescent="0.3">
      <c r="A53" s="43"/>
      <c r="B53" s="43"/>
      <c r="C53" s="43"/>
      <c r="D53" s="43"/>
      <c r="E53" s="43"/>
      <c r="F53" s="43"/>
      <c r="G53" s="43"/>
      <c r="H53" s="43"/>
      <c r="I53" s="43"/>
      <c r="J53" s="43"/>
    </row>
    <row r="54" spans="1:10" ht="21" x14ac:dyDescent="0.4">
      <c r="A54" s="44" t="s">
        <v>16</v>
      </c>
    </row>
    <row r="56" spans="1:10" x14ac:dyDescent="0.3">
      <c r="A56" t="s">
        <v>833</v>
      </c>
    </row>
    <row r="57" spans="1:10" x14ac:dyDescent="0.3">
      <c r="A57" t="s">
        <v>834</v>
      </c>
    </row>
    <row r="58" spans="1:10" x14ac:dyDescent="0.3">
      <c r="A58" t="s">
        <v>835</v>
      </c>
    </row>
  </sheetData>
  <mergeCells count="17">
    <mergeCell ref="A47:J47"/>
    <mergeCell ref="A50:J50"/>
    <mergeCell ref="A51:J51"/>
    <mergeCell ref="A2:M2"/>
    <mergeCell ref="A1:M1"/>
    <mergeCell ref="A29:J29"/>
    <mergeCell ref="A30:J30"/>
    <mergeCell ref="A31:J31"/>
    <mergeCell ref="A33:J33"/>
    <mergeCell ref="A39:J39"/>
    <mergeCell ref="A40:J40"/>
    <mergeCell ref="A41:J41"/>
    <mergeCell ref="A32:J32"/>
    <mergeCell ref="A49:J49"/>
    <mergeCell ref="A42:J42"/>
    <mergeCell ref="A43:J43"/>
    <mergeCell ref="A44:J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EC36-8F83-435A-873B-4A39CC746B45}">
  <dimension ref="A1:M12"/>
  <sheetViews>
    <sheetView zoomScale="80" zoomScaleNormal="80" workbookViewId="0">
      <selection activeCell="F30" sqref="F30"/>
    </sheetView>
  </sheetViews>
  <sheetFormatPr defaultRowHeight="14.4" x14ac:dyDescent="0.3"/>
  <cols>
    <col min="1" max="1" width="16.77734375" customWidth="1"/>
    <col min="2" max="2" width="12.21875" customWidth="1"/>
    <col min="3" max="3" width="12.44140625" customWidth="1"/>
    <col min="5" max="5" width="22.6640625" customWidth="1"/>
    <col min="6" max="6" width="17.5546875" customWidth="1"/>
    <col min="7" max="7" width="11" customWidth="1"/>
  </cols>
  <sheetData>
    <row r="1" spans="1:13" ht="31.8" thickBot="1" x14ac:dyDescent="0.65">
      <c r="A1" s="58" t="s">
        <v>17</v>
      </c>
      <c r="B1" s="58"/>
      <c r="C1" s="58"/>
      <c r="D1" s="58"/>
      <c r="E1" s="58"/>
      <c r="F1" s="58"/>
      <c r="G1" s="58"/>
      <c r="H1" s="58"/>
      <c r="I1" s="49"/>
      <c r="J1" s="49"/>
      <c r="K1" s="49"/>
      <c r="L1" s="49"/>
      <c r="M1" s="49"/>
    </row>
    <row r="2" spans="1:13" x14ac:dyDescent="0.3">
      <c r="A2" s="59" t="s">
        <v>29</v>
      </c>
      <c r="B2" s="59"/>
      <c r="C2" s="59"/>
      <c r="D2" s="59"/>
      <c r="E2" s="59"/>
      <c r="F2" s="59"/>
      <c r="G2" s="59"/>
      <c r="H2" s="59"/>
      <c r="I2" s="8"/>
      <c r="J2" s="8"/>
      <c r="K2" s="8"/>
      <c r="L2" s="8"/>
      <c r="M2" s="8"/>
    </row>
    <row r="4" spans="1:13" ht="15.6" x14ac:dyDescent="0.3">
      <c r="A4" s="6" t="s">
        <v>18</v>
      </c>
      <c r="B4" s="6" t="s">
        <v>19</v>
      </c>
      <c r="C4" s="6" t="s">
        <v>20</v>
      </c>
      <c r="D4" s="6" t="s">
        <v>21</v>
      </c>
      <c r="E4" s="6" t="s">
        <v>22</v>
      </c>
      <c r="F4" s="6" t="s">
        <v>23</v>
      </c>
      <c r="G4" s="6" t="s">
        <v>24</v>
      </c>
    </row>
    <row r="5" spans="1:13" x14ac:dyDescent="0.3">
      <c r="A5" s="4" t="s">
        <v>25</v>
      </c>
      <c r="B5" s="5">
        <v>45669</v>
      </c>
      <c r="C5" s="5">
        <v>45683</v>
      </c>
      <c r="D5" s="4" t="s">
        <v>30</v>
      </c>
      <c r="E5" s="4" t="s">
        <v>31</v>
      </c>
      <c r="F5" s="4" t="s">
        <v>32</v>
      </c>
      <c r="G5" s="4">
        <v>128</v>
      </c>
    </row>
    <row r="6" spans="1:13" x14ac:dyDescent="0.3">
      <c r="A6" s="4" t="s">
        <v>26</v>
      </c>
      <c r="B6" s="5">
        <v>45802</v>
      </c>
      <c r="C6" s="5">
        <v>45816</v>
      </c>
      <c r="D6" s="4" t="s">
        <v>33</v>
      </c>
      <c r="E6" s="4" t="s">
        <v>34</v>
      </c>
      <c r="F6" s="4" t="s">
        <v>32</v>
      </c>
      <c r="G6" s="4">
        <v>128</v>
      </c>
    </row>
    <row r="7" spans="1:13" x14ac:dyDescent="0.3">
      <c r="A7" s="4" t="s">
        <v>27</v>
      </c>
      <c r="B7" s="5">
        <v>45838</v>
      </c>
      <c r="C7" s="5">
        <v>45851</v>
      </c>
      <c r="D7" s="4" t="s">
        <v>35</v>
      </c>
      <c r="E7" s="4" t="s">
        <v>36</v>
      </c>
      <c r="F7" s="4" t="s">
        <v>37</v>
      </c>
      <c r="G7" s="4">
        <v>128</v>
      </c>
    </row>
    <row r="8" spans="1:13" x14ac:dyDescent="0.3">
      <c r="A8" s="4" t="s">
        <v>28</v>
      </c>
      <c r="B8" s="5">
        <v>45893</v>
      </c>
      <c r="C8" s="5">
        <v>45907</v>
      </c>
      <c r="D8" s="4" t="s">
        <v>30</v>
      </c>
      <c r="E8" s="4" t="s">
        <v>38</v>
      </c>
      <c r="F8" s="4" t="s">
        <v>32</v>
      </c>
      <c r="G8" s="4">
        <v>128</v>
      </c>
    </row>
    <row r="12" spans="1:13" x14ac:dyDescent="0.3">
      <c r="D12" s="46"/>
    </row>
  </sheetData>
  <mergeCells count="2">
    <mergeCell ref="A1:H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A1E1-E089-433B-8C3F-8B1205FDCA42}">
  <dimension ref="A1:Q516"/>
  <sheetViews>
    <sheetView zoomScale="80" zoomScaleNormal="80" workbookViewId="0">
      <selection activeCell="N26" sqref="N26"/>
    </sheetView>
  </sheetViews>
  <sheetFormatPr defaultRowHeight="14.4" x14ac:dyDescent="0.3"/>
  <cols>
    <col min="1" max="1" width="17.5546875" style="1" customWidth="1"/>
    <col min="2" max="2" width="26" style="1" bestFit="1" customWidth="1"/>
    <col min="3" max="3" width="32.6640625" style="1" customWidth="1"/>
    <col min="4" max="4" width="16.6640625" style="1" customWidth="1"/>
    <col min="5" max="5" width="17.5546875" style="1" customWidth="1"/>
    <col min="6" max="6" width="18.6640625" style="1" customWidth="1"/>
    <col min="7" max="7" width="19.44140625" style="1" customWidth="1"/>
    <col min="8" max="8" width="19.77734375" style="1" customWidth="1"/>
    <col min="9" max="9" width="19.5546875" style="1" bestFit="1" customWidth="1"/>
    <col min="10" max="10" width="20.33203125" style="1" customWidth="1"/>
    <col min="11" max="11" width="20.21875" style="1" customWidth="1"/>
    <col min="12" max="12" width="25.21875" style="1" customWidth="1"/>
    <col min="13" max="13" width="27.33203125" style="1" customWidth="1"/>
    <col min="14" max="14" width="26" style="1" bestFit="1" customWidth="1"/>
    <col min="15" max="15" width="23.33203125" style="1" customWidth="1"/>
    <col min="16" max="16384" width="8.88671875" style="1"/>
  </cols>
  <sheetData>
    <row r="1" spans="1:17" ht="31.8" thickBot="1" x14ac:dyDescent="0.65">
      <c r="A1" s="60" t="s">
        <v>327</v>
      </c>
      <c r="B1" s="60"/>
      <c r="C1" s="60"/>
      <c r="D1" s="60"/>
      <c r="E1" s="60"/>
      <c r="F1" s="60"/>
      <c r="G1" s="60"/>
      <c r="H1" s="60"/>
      <c r="I1" s="60"/>
      <c r="J1" s="60"/>
      <c r="K1" s="60"/>
      <c r="L1" s="60"/>
      <c r="M1" s="15"/>
      <c r="N1" s="15"/>
      <c r="O1" s="7"/>
      <c r="P1" s="7"/>
      <c r="Q1" s="7"/>
    </row>
    <row r="2" spans="1:17" x14ac:dyDescent="0.3">
      <c r="A2" s="55" t="s">
        <v>39</v>
      </c>
      <c r="B2" s="55"/>
      <c r="C2" s="55"/>
      <c r="D2" s="55"/>
      <c r="E2" s="55"/>
      <c r="F2" s="55"/>
      <c r="G2" s="55"/>
      <c r="H2" s="55"/>
      <c r="I2" s="55"/>
      <c r="J2" s="55"/>
      <c r="K2" s="55"/>
      <c r="L2" s="55"/>
      <c r="M2" s="16"/>
      <c r="N2" s="16"/>
      <c r="O2" s="8"/>
      <c r="P2" s="8"/>
      <c r="Q2" s="8"/>
    </row>
    <row r="4" spans="1:17" x14ac:dyDescent="0.3">
      <c r="A4" s="1" t="s">
        <v>51</v>
      </c>
      <c r="B4" s="1" t="s">
        <v>314</v>
      </c>
      <c r="C4" s="1" t="s">
        <v>315</v>
      </c>
      <c r="D4" s="1" t="s">
        <v>40</v>
      </c>
      <c r="E4" s="1" t="s">
        <v>320</v>
      </c>
      <c r="F4" s="1" t="s">
        <v>321</v>
      </c>
      <c r="G4" s="1" t="s">
        <v>41</v>
      </c>
      <c r="H4" s="1" t="s">
        <v>42</v>
      </c>
      <c r="I4" s="1" t="s">
        <v>316</v>
      </c>
      <c r="J4" s="1" t="s">
        <v>43</v>
      </c>
      <c r="K4" s="1" t="s">
        <v>322</v>
      </c>
      <c r="L4" s="1" t="s">
        <v>323</v>
      </c>
    </row>
    <row r="5" spans="1:17" x14ac:dyDescent="0.3">
      <c r="A5" s="1" t="s">
        <v>53</v>
      </c>
      <c r="B5" s="1" t="s">
        <v>55</v>
      </c>
      <c r="C5" s="1">
        <v>1</v>
      </c>
      <c r="D5" s="1">
        <v>1</v>
      </c>
      <c r="E5" s="1" t="s">
        <v>317</v>
      </c>
      <c r="F5" s="1">
        <v>8</v>
      </c>
      <c r="G5" s="1">
        <v>7</v>
      </c>
      <c r="H5" s="1">
        <v>7</v>
      </c>
      <c r="I5" s="1">
        <v>0</v>
      </c>
      <c r="J5" s="1" t="s">
        <v>324</v>
      </c>
      <c r="K5" s="1">
        <v>7</v>
      </c>
      <c r="L5" s="1">
        <v>1</v>
      </c>
    </row>
    <row r="6" spans="1:17" x14ac:dyDescent="0.3">
      <c r="A6" s="1" t="s">
        <v>53</v>
      </c>
      <c r="B6" s="1" t="s">
        <v>243</v>
      </c>
      <c r="C6" s="1">
        <v>2</v>
      </c>
      <c r="D6" s="1">
        <v>2</v>
      </c>
      <c r="E6" s="1" t="s">
        <v>317</v>
      </c>
      <c r="F6" s="1">
        <v>7</v>
      </c>
      <c r="G6" s="1">
        <v>7</v>
      </c>
      <c r="H6" s="1">
        <v>6</v>
      </c>
      <c r="I6" s="1">
        <v>1</v>
      </c>
      <c r="J6" s="1" t="s">
        <v>324</v>
      </c>
      <c r="K6" s="1">
        <v>7</v>
      </c>
      <c r="L6" s="1">
        <v>0</v>
      </c>
    </row>
    <row r="7" spans="1:17" x14ac:dyDescent="0.3">
      <c r="A7" s="1" t="s">
        <v>53</v>
      </c>
      <c r="B7" s="1" t="s">
        <v>56</v>
      </c>
      <c r="C7" s="1">
        <v>34</v>
      </c>
      <c r="E7" s="1" t="s">
        <v>54</v>
      </c>
      <c r="F7" s="1">
        <v>1</v>
      </c>
      <c r="G7" s="1">
        <v>1</v>
      </c>
      <c r="H7" s="1">
        <v>0</v>
      </c>
      <c r="I7" s="1">
        <v>1</v>
      </c>
      <c r="J7" s="1" t="s">
        <v>246</v>
      </c>
      <c r="K7" s="1">
        <v>2</v>
      </c>
      <c r="L7" s="1">
        <v>-1</v>
      </c>
    </row>
    <row r="8" spans="1:17" x14ac:dyDescent="0.3">
      <c r="A8" s="1" t="s">
        <v>53</v>
      </c>
      <c r="B8" s="1" t="s">
        <v>58</v>
      </c>
      <c r="C8" s="1">
        <v>173</v>
      </c>
      <c r="E8" s="1" t="s">
        <v>246</v>
      </c>
      <c r="F8" s="1">
        <v>2</v>
      </c>
      <c r="G8" s="1">
        <v>2</v>
      </c>
      <c r="H8" s="1">
        <v>1</v>
      </c>
      <c r="I8" s="1">
        <v>1</v>
      </c>
      <c r="J8" s="1" t="s">
        <v>54</v>
      </c>
      <c r="K8" s="1">
        <v>1</v>
      </c>
      <c r="L8" s="1">
        <v>1</v>
      </c>
    </row>
    <row r="9" spans="1:17" x14ac:dyDescent="0.3">
      <c r="A9" s="1" t="s">
        <v>53</v>
      </c>
      <c r="B9" s="1" t="s">
        <v>59</v>
      </c>
      <c r="C9" s="1">
        <v>84</v>
      </c>
      <c r="E9" s="1" t="s">
        <v>54</v>
      </c>
      <c r="F9" s="1">
        <v>1</v>
      </c>
      <c r="G9" s="1">
        <v>1</v>
      </c>
      <c r="H9" s="1">
        <v>0</v>
      </c>
      <c r="I9" s="1">
        <v>1</v>
      </c>
      <c r="J9" s="1" t="s">
        <v>54</v>
      </c>
      <c r="K9" s="1">
        <v>1</v>
      </c>
      <c r="L9" s="1">
        <v>0</v>
      </c>
    </row>
    <row r="10" spans="1:17" x14ac:dyDescent="0.3">
      <c r="A10" s="1" t="s">
        <v>53</v>
      </c>
      <c r="B10" s="1" t="s">
        <v>61</v>
      </c>
      <c r="C10" s="1">
        <v>45</v>
      </c>
      <c r="E10" s="1" t="s">
        <v>279</v>
      </c>
      <c r="F10" s="1">
        <v>3</v>
      </c>
      <c r="G10" s="1">
        <v>3</v>
      </c>
      <c r="H10" s="1">
        <v>2</v>
      </c>
      <c r="I10" s="1">
        <v>1</v>
      </c>
      <c r="J10" s="1" t="s">
        <v>246</v>
      </c>
      <c r="K10" s="1">
        <v>2</v>
      </c>
      <c r="L10" s="1">
        <v>1</v>
      </c>
    </row>
    <row r="11" spans="1:17" x14ac:dyDescent="0.3">
      <c r="A11" s="1" t="s">
        <v>53</v>
      </c>
      <c r="B11" s="1" t="s">
        <v>62</v>
      </c>
      <c r="C11" s="1">
        <v>98</v>
      </c>
      <c r="E11" s="1" t="s">
        <v>54</v>
      </c>
      <c r="F11" s="1">
        <v>1</v>
      </c>
      <c r="G11" s="1">
        <v>1</v>
      </c>
      <c r="H11" s="1">
        <v>0</v>
      </c>
      <c r="I11" s="1">
        <v>1</v>
      </c>
      <c r="J11" s="1" t="s">
        <v>54</v>
      </c>
      <c r="K11" s="1">
        <v>1</v>
      </c>
      <c r="L11" s="1">
        <v>0</v>
      </c>
    </row>
    <row r="12" spans="1:17" x14ac:dyDescent="0.3">
      <c r="A12" s="1" t="s">
        <v>53</v>
      </c>
      <c r="B12" s="1" t="s">
        <v>64</v>
      </c>
      <c r="C12" s="1">
        <v>39</v>
      </c>
      <c r="E12" s="1" t="s">
        <v>246</v>
      </c>
      <c r="F12" s="1">
        <v>2</v>
      </c>
      <c r="G12" s="1">
        <v>2</v>
      </c>
      <c r="H12" s="1">
        <v>1</v>
      </c>
      <c r="I12" s="1">
        <v>1</v>
      </c>
      <c r="J12" s="1" t="s">
        <v>246</v>
      </c>
      <c r="K12" s="1">
        <v>2</v>
      </c>
      <c r="L12" s="1">
        <v>0</v>
      </c>
    </row>
    <row r="13" spans="1:17" x14ac:dyDescent="0.3">
      <c r="A13" s="1" t="s">
        <v>53</v>
      </c>
      <c r="B13" s="1" t="s">
        <v>65</v>
      </c>
      <c r="C13" s="1">
        <v>32</v>
      </c>
      <c r="D13" s="1">
        <v>32</v>
      </c>
      <c r="E13" s="1" t="s">
        <v>54</v>
      </c>
      <c r="F13" s="1">
        <v>1</v>
      </c>
      <c r="G13" s="1">
        <v>1</v>
      </c>
      <c r="H13" s="1">
        <v>0</v>
      </c>
      <c r="I13" s="1">
        <v>1</v>
      </c>
      <c r="J13" s="1" t="s">
        <v>279</v>
      </c>
      <c r="K13" s="1">
        <v>3</v>
      </c>
      <c r="L13" s="1">
        <v>-2</v>
      </c>
    </row>
    <row r="14" spans="1:17" x14ac:dyDescent="0.3">
      <c r="A14" s="1" t="s">
        <v>53</v>
      </c>
      <c r="B14" s="1" t="s">
        <v>131</v>
      </c>
      <c r="C14" s="1">
        <v>158</v>
      </c>
      <c r="E14" s="1" t="s">
        <v>54</v>
      </c>
      <c r="F14" s="1">
        <v>1</v>
      </c>
      <c r="G14" s="1">
        <v>1</v>
      </c>
      <c r="H14" s="1">
        <v>0</v>
      </c>
      <c r="I14" s="1">
        <v>1</v>
      </c>
      <c r="J14" s="1" t="s">
        <v>54</v>
      </c>
      <c r="K14" s="1">
        <v>1</v>
      </c>
      <c r="L14" s="1">
        <v>0</v>
      </c>
    </row>
    <row r="15" spans="1:17" x14ac:dyDescent="0.3">
      <c r="A15" s="1" t="s">
        <v>53</v>
      </c>
      <c r="B15" s="1" t="s">
        <v>67</v>
      </c>
      <c r="C15" s="1">
        <v>18</v>
      </c>
      <c r="D15" s="1">
        <v>18</v>
      </c>
      <c r="E15" s="1" t="s">
        <v>246</v>
      </c>
      <c r="F15" s="1">
        <v>2</v>
      </c>
      <c r="G15" s="1">
        <v>2</v>
      </c>
      <c r="H15" s="1">
        <v>1</v>
      </c>
      <c r="I15" s="1">
        <v>1</v>
      </c>
      <c r="J15" s="1" t="s">
        <v>279</v>
      </c>
      <c r="K15" s="1">
        <v>3</v>
      </c>
      <c r="L15" s="1">
        <v>-1</v>
      </c>
    </row>
    <row r="16" spans="1:17" x14ac:dyDescent="0.3">
      <c r="A16" s="1" t="s">
        <v>53</v>
      </c>
      <c r="B16" s="1" t="s">
        <v>68</v>
      </c>
      <c r="C16" s="1">
        <v>40</v>
      </c>
      <c r="E16" s="1" t="s">
        <v>54</v>
      </c>
      <c r="F16" s="1">
        <v>1</v>
      </c>
      <c r="G16" s="1">
        <v>1</v>
      </c>
      <c r="H16" s="1">
        <v>0</v>
      </c>
      <c r="I16" s="1">
        <v>1</v>
      </c>
      <c r="J16" s="1" t="s">
        <v>246</v>
      </c>
      <c r="K16" s="1">
        <v>2</v>
      </c>
      <c r="L16" s="1">
        <v>-1</v>
      </c>
    </row>
    <row r="17" spans="1:12" x14ac:dyDescent="0.3">
      <c r="A17" s="1" t="s">
        <v>53</v>
      </c>
      <c r="B17" s="1" t="s">
        <v>71</v>
      </c>
      <c r="C17" s="1">
        <v>75</v>
      </c>
      <c r="E17" s="1" t="s">
        <v>54</v>
      </c>
      <c r="F17" s="1">
        <v>1</v>
      </c>
      <c r="G17" s="1">
        <v>1</v>
      </c>
      <c r="H17" s="1">
        <v>0</v>
      </c>
      <c r="I17" s="1">
        <v>1</v>
      </c>
      <c r="J17" s="1" t="s">
        <v>54</v>
      </c>
      <c r="K17" s="1">
        <v>1</v>
      </c>
      <c r="L17" s="1">
        <v>0</v>
      </c>
    </row>
    <row r="18" spans="1:12" x14ac:dyDescent="0.3">
      <c r="A18" s="1" t="s">
        <v>53</v>
      </c>
      <c r="B18" s="1" t="s">
        <v>70</v>
      </c>
      <c r="C18" s="1">
        <v>55</v>
      </c>
      <c r="E18" s="1" t="s">
        <v>279</v>
      </c>
      <c r="F18" s="1">
        <v>3</v>
      </c>
      <c r="G18" s="1">
        <v>3</v>
      </c>
      <c r="H18" s="1">
        <v>2</v>
      </c>
      <c r="I18" s="1">
        <v>1</v>
      </c>
      <c r="J18" s="1" t="s">
        <v>246</v>
      </c>
      <c r="K18" s="1">
        <v>2</v>
      </c>
      <c r="L18" s="1">
        <v>1</v>
      </c>
    </row>
    <row r="19" spans="1:12" x14ac:dyDescent="0.3">
      <c r="A19" s="1" t="s">
        <v>53</v>
      </c>
      <c r="B19" s="1" t="s">
        <v>73</v>
      </c>
      <c r="C19" s="1">
        <v>35</v>
      </c>
      <c r="E19" s="1" t="s">
        <v>246</v>
      </c>
      <c r="F19" s="1">
        <v>2</v>
      </c>
      <c r="G19" s="1">
        <v>2</v>
      </c>
      <c r="H19" s="1">
        <v>1</v>
      </c>
      <c r="I19" s="1">
        <v>1</v>
      </c>
      <c r="J19" s="1" t="s">
        <v>246</v>
      </c>
      <c r="K19" s="1">
        <v>2</v>
      </c>
      <c r="L19" s="1">
        <v>0</v>
      </c>
    </row>
    <row r="20" spans="1:12" x14ac:dyDescent="0.3">
      <c r="A20" s="1" t="s">
        <v>53</v>
      </c>
      <c r="B20" s="1" t="s">
        <v>112</v>
      </c>
      <c r="C20" s="1">
        <v>52</v>
      </c>
      <c r="E20" s="1" t="s">
        <v>295</v>
      </c>
      <c r="F20" s="1">
        <v>4</v>
      </c>
      <c r="G20" s="1">
        <v>4</v>
      </c>
      <c r="H20" s="1">
        <v>3</v>
      </c>
      <c r="I20" s="1">
        <v>1</v>
      </c>
      <c r="J20" s="1" t="s">
        <v>246</v>
      </c>
      <c r="K20" s="1">
        <v>2</v>
      </c>
      <c r="L20" s="1">
        <v>2</v>
      </c>
    </row>
    <row r="21" spans="1:12" x14ac:dyDescent="0.3">
      <c r="A21" s="1" t="s">
        <v>53</v>
      </c>
      <c r="B21" s="1" t="s">
        <v>74</v>
      </c>
      <c r="C21" s="1">
        <v>48</v>
      </c>
      <c r="E21" s="1" t="s">
        <v>54</v>
      </c>
      <c r="F21" s="1">
        <v>1</v>
      </c>
      <c r="G21" s="1">
        <v>1</v>
      </c>
      <c r="H21" s="1">
        <v>0</v>
      </c>
      <c r="I21" s="1">
        <v>1</v>
      </c>
      <c r="J21" s="1" t="s">
        <v>246</v>
      </c>
      <c r="K21" s="1">
        <v>2</v>
      </c>
      <c r="L21" s="1">
        <v>-1</v>
      </c>
    </row>
    <row r="22" spans="1:12" x14ac:dyDescent="0.3">
      <c r="A22" s="1" t="s">
        <v>53</v>
      </c>
      <c r="B22" s="1" t="s">
        <v>76</v>
      </c>
      <c r="C22" s="1">
        <v>13</v>
      </c>
      <c r="D22" s="1">
        <v>13</v>
      </c>
      <c r="E22" s="1" t="s">
        <v>295</v>
      </c>
      <c r="F22" s="1">
        <v>4</v>
      </c>
      <c r="G22" s="1">
        <v>4</v>
      </c>
      <c r="H22" s="1">
        <v>3</v>
      </c>
      <c r="I22" s="1">
        <v>1</v>
      </c>
      <c r="J22" s="1" t="s">
        <v>295</v>
      </c>
      <c r="K22" s="1">
        <v>4</v>
      </c>
      <c r="L22" s="1">
        <v>0</v>
      </c>
    </row>
    <row r="23" spans="1:12" x14ac:dyDescent="0.3">
      <c r="A23" s="1" t="s">
        <v>53</v>
      </c>
      <c r="B23" s="1" t="s">
        <v>150</v>
      </c>
      <c r="C23" s="1">
        <v>7</v>
      </c>
      <c r="D23" s="1">
        <v>7</v>
      </c>
      <c r="E23" s="1" t="s">
        <v>319</v>
      </c>
      <c r="F23" s="1">
        <v>6</v>
      </c>
      <c r="G23" s="1">
        <v>6</v>
      </c>
      <c r="H23" s="1">
        <v>5</v>
      </c>
      <c r="I23" s="1">
        <v>1</v>
      </c>
      <c r="J23" s="1" t="s">
        <v>325</v>
      </c>
      <c r="K23" s="1">
        <v>5</v>
      </c>
      <c r="L23" s="1">
        <v>1</v>
      </c>
    </row>
    <row r="24" spans="1:12" x14ac:dyDescent="0.3">
      <c r="A24" s="1" t="s">
        <v>53</v>
      </c>
      <c r="B24" s="1" t="s">
        <v>77</v>
      </c>
      <c r="C24" s="1">
        <v>47</v>
      </c>
      <c r="E24" s="1" t="s">
        <v>54</v>
      </c>
      <c r="F24" s="1">
        <v>1</v>
      </c>
      <c r="G24" s="1">
        <v>1</v>
      </c>
      <c r="H24" s="1">
        <v>0</v>
      </c>
      <c r="I24" s="1">
        <v>1</v>
      </c>
      <c r="J24" s="1" t="s">
        <v>246</v>
      </c>
      <c r="K24" s="1">
        <v>2</v>
      </c>
      <c r="L24" s="1">
        <v>-1</v>
      </c>
    </row>
    <row r="25" spans="1:12" x14ac:dyDescent="0.3">
      <c r="A25" s="1" t="s">
        <v>53</v>
      </c>
      <c r="B25" s="1" t="s">
        <v>79</v>
      </c>
      <c r="C25" s="1">
        <v>41</v>
      </c>
      <c r="E25" s="1" t="s">
        <v>295</v>
      </c>
      <c r="F25" s="1">
        <v>4</v>
      </c>
      <c r="G25" s="1">
        <v>4</v>
      </c>
      <c r="H25" s="1">
        <v>3</v>
      </c>
      <c r="I25" s="1">
        <v>1</v>
      </c>
      <c r="J25" s="1" t="s">
        <v>246</v>
      </c>
      <c r="K25" s="1">
        <v>2</v>
      </c>
      <c r="L25" s="1">
        <v>2</v>
      </c>
    </row>
    <row r="26" spans="1:12" x14ac:dyDescent="0.3">
      <c r="A26" s="1" t="s">
        <v>53</v>
      </c>
      <c r="B26" s="1" t="s">
        <v>89</v>
      </c>
      <c r="C26" s="1">
        <v>73</v>
      </c>
      <c r="E26" s="1" t="s">
        <v>54</v>
      </c>
      <c r="F26" s="1">
        <v>1</v>
      </c>
      <c r="G26" s="1">
        <v>1</v>
      </c>
      <c r="H26" s="1">
        <v>0</v>
      </c>
      <c r="I26" s="1">
        <v>1</v>
      </c>
      <c r="J26" s="1" t="s">
        <v>54</v>
      </c>
      <c r="K26" s="1">
        <v>1</v>
      </c>
      <c r="L26" s="1">
        <v>0</v>
      </c>
    </row>
    <row r="27" spans="1:12" x14ac:dyDescent="0.3">
      <c r="A27" s="1" t="s">
        <v>53</v>
      </c>
      <c r="B27" s="1" t="s">
        <v>80</v>
      </c>
      <c r="C27" s="1">
        <v>11</v>
      </c>
      <c r="D27" s="1">
        <v>11</v>
      </c>
      <c r="E27" s="1" t="s">
        <v>54</v>
      </c>
      <c r="F27" s="1">
        <v>1</v>
      </c>
      <c r="G27" s="1">
        <v>1</v>
      </c>
      <c r="H27" s="1">
        <v>0</v>
      </c>
      <c r="I27" s="1">
        <v>1</v>
      </c>
      <c r="J27" s="1" t="s">
        <v>295</v>
      </c>
      <c r="K27" s="1">
        <v>4</v>
      </c>
      <c r="L27" s="1">
        <v>-3</v>
      </c>
    </row>
    <row r="28" spans="1:12" x14ac:dyDescent="0.3">
      <c r="A28" s="1" t="s">
        <v>53</v>
      </c>
      <c r="B28" s="1" t="s">
        <v>82</v>
      </c>
      <c r="C28" s="1">
        <v>258</v>
      </c>
      <c r="E28" s="1" t="s">
        <v>246</v>
      </c>
      <c r="F28" s="1">
        <v>2</v>
      </c>
      <c r="G28" s="1">
        <v>2</v>
      </c>
      <c r="H28" s="1">
        <v>1</v>
      </c>
      <c r="I28" s="1">
        <v>1</v>
      </c>
      <c r="J28" s="1" t="s">
        <v>54</v>
      </c>
      <c r="K28" s="1">
        <v>1</v>
      </c>
      <c r="L28" s="1">
        <v>1</v>
      </c>
    </row>
    <row r="29" spans="1:12" x14ac:dyDescent="0.3">
      <c r="A29" s="1" t="s">
        <v>53</v>
      </c>
      <c r="B29" s="1" t="s">
        <v>83</v>
      </c>
      <c r="C29" s="1">
        <v>143</v>
      </c>
      <c r="E29" s="1" t="s">
        <v>54</v>
      </c>
      <c r="F29" s="1">
        <v>1</v>
      </c>
      <c r="G29" s="1">
        <v>1</v>
      </c>
      <c r="H29" s="1">
        <v>0</v>
      </c>
      <c r="I29" s="1">
        <v>1</v>
      </c>
      <c r="J29" s="1" t="s">
        <v>54</v>
      </c>
      <c r="K29" s="1">
        <v>1</v>
      </c>
      <c r="L29" s="1">
        <v>0</v>
      </c>
    </row>
    <row r="30" spans="1:12" x14ac:dyDescent="0.3">
      <c r="A30" s="1" t="s">
        <v>53</v>
      </c>
      <c r="B30" s="1" t="s">
        <v>122</v>
      </c>
      <c r="C30" s="1">
        <v>51</v>
      </c>
      <c r="E30" s="1" t="s">
        <v>54</v>
      </c>
      <c r="F30" s="1">
        <v>1</v>
      </c>
      <c r="G30" s="1">
        <v>1</v>
      </c>
      <c r="H30" s="1">
        <v>0</v>
      </c>
      <c r="I30" s="1">
        <v>1</v>
      </c>
      <c r="J30" s="1" t="s">
        <v>246</v>
      </c>
      <c r="K30" s="1">
        <v>2</v>
      </c>
      <c r="L30" s="1">
        <v>-1</v>
      </c>
    </row>
    <row r="31" spans="1:12" x14ac:dyDescent="0.3">
      <c r="A31" s="1" t="s">
        <v>53</v>
      </c>
      <c r="B31" s="1" t="s">
        <v>85</v>
      </c>
      <c r="C31" s="1">
        <v>87</v>
      </c>
      <c r="E31" s="1" t="s">
        <v>246</v>
      </c>
      <c r="F31" s="1">
        <v>2</v>
      </c>
      <c r="G31" s="1">
        <v>2</v>
      </c>
      <c r="H31" s="1">
        <v>1</v>
      </c>
      <c r="I31" s="1">
        <v>1</v>
      </c>
      <c r="J31" s="1" t="s">
        <v>54</v>
      </c>
      <c r="K31" s="1">
        <v>1</v>
      </c>
      <c r="L31" s="1">
        <v>1</v>
      </c>
    </row>
    <row r="32" spans="1:12" x14ac:dyDescent="0.3">
      <c r="A32" s="1" t="s">
        <v>53</v>
      </c>
      <c r="B32" s="1" t="s">
        <v>86</v>
      </c>
      <c r="C32" s="1">
        <v>90</v>
      </c>
      <c r="E32" s="1" t="s">
        <v>54</v>
      </c>
      <c r="F32" s="1">
        <v>1</v>
      </c>
      <c r="G32" s="1">
        <v>1</v>
      </c>
      <c r="H32" s="1">
        <v>0</v>
      </c>
      <c r="I32" s="1">
        <v>1</v>
      </c>
      <c r="J32" s="1" t="s">
        <v>54</v>
      </c>
      <c r="K32" s="1">
        <v>1</v>
      </c>
      <c r="L32" s="1">
        <v>0</v>
      </c>
    </row>
    <row r="33" spans="1:12" x14ac:dyDescent="0.3">
      <c r="A33" s="1" t="s">
        <v>53</v>
      </c>
      <c r="B33" s="1" t="s">
        <v>88</v>
      </c>
      <c r="C33" s="1">
        <v>19</v>
      </c>
      <c r="D33" s="1">
        <v>19</v>
      </c>
      <c r="E33" s="1" t="s">
        <v>279</v>
      </c>
      <c r="F33" s="1">
        <v>3</v>
      </c>
      <c r="G33" s="1">
        <v>3</v>
      </c>
      <c r="H33" s="1">
        <v>2</v>
      </c>
      <c r="I33" s="1">
        <v>1</v>
      </c>
      <c r="J33" s="1" t="s">
        <v>279</v>
      </c>
      <c r="K33" s="1">
        <v>3</v>
      </c>
      <c r="L33" s="1">
        <v>0</v>
      </c>
    </row>
    <row r="34" spans="1:12" x14ac:dyDescent="0.3">
      <c r="A34" s="1" t="s">
        <v>53</v>
      </c>
      <c r="B34" s="1" t="s">
        <v>98</v>
      </c>
      <c r="C34" s="1">
        <v>97</v>
      </c>
      <c r="E34" s="1" t="s">
        <v>54</v>
      </c>
      <c r="F34" s="1">
        <v>1</v>
      </c>
      <c r="G34" s="1">
        <v>1</v>
      </c>
      <c r="H34" s="1">
        <v>0</v>
      </c>
      <c r="I34" s="1">
        <v>1</v>
      </c>
      <c r="J34" s="1" t="s">
        <v>54</v>
      </c>
      <c r="K34" s="1">
        <v>1</v>
      </c>
      <c r="L34" s="1">
        <v>0</v>
      </c>
    </row>
    <row r="35" spans="1:12" x14ac:dyDescent="0.3">
      <c r="A35" s="1" t="s">
        <v>53</v>
      </c>
      <c r="B35" s="1" t="s">
        <v>91</v>
      </c>
      <c r="C35" s="1">
        <v>31</v>
      </c>
      <c r="D35" s="1">
        <v>31</v>
      </c>
      <c r="E35" s="1" t="s">
        <v>279</v>
      </c>
      <c r="F35" s="1">
        <v>3</v>
      </c>
      <c r="G35" s="1">
        <v>3</v>
      </c>
      <c r="H35" s="1">
        <v>2</v>
      </c>
      <c r="I35" s="1">
        <v>1</v>
      </c>
      <c r="J35" s="1" t="s">
        <v>279</v>
      </c>
      <c r="K35" s="1">
        <v>3</v>
      </c>
      <c r="L35" s="1">
        <v>0</v>
      </c>
    </row>
    <row r="36" spans="1:12" x14ac:dyDescent="0.3">
      <c r="A36" s="1" t="s">
        <v>53</v>
      </c>
      <c r="B36" s="1" t="s">
        <v>92</v>
      </c>
      <c r="C36" s="1">
        <v>33</v>
      </c>
      <c r="E36" s="1" t="s">
        <v>54</v>
      </c>
      <c r="F36" s="1">
        <v>1</v>
      </c>
      <c r="G36" s="1">
        <v>1</v>
      </c>
      <c r="H36" s="1">
        <v>0</v>
      </c>
      <c r="I36" s="1">
        <v>1</v>
      </c>
      <c r="J36" s="1" t="s">
        <v>246</v>
      </c>
      <c r="K36" s="1">
        <v>2</v>
      </c>
      <c r="L36" s="1">
        <v>-1</v>
      </c>
    </row>
    <row r="37" spans="1:12" x14ac:dyDescent="0.3">
      <c r="A37" s="1" t="s">
        <v>53</v>
      </c>
      <c r="B37" s="1" t="s">
        <v>118</v>
      </c>
      <c r="C37" s="1">
        <v>184</v>
      </c>
      <c r="E37" s="1" t="s">
        <v>246</v>
      </c>
      <c r="F37" s="1">
        <v>2</v>
      </c>
      <c r="G37" s="1">
        <v>2</v>
      </c>
      <c r="H37" s="1">
        <v>1</v>
      </c>
      <c r="I37" s="1">
        <v>1</v>
      </c>
      <c r="J37" s="1" t="s">
        <v>54</v>
      </c>
      <c r="K37" s="1">
        <v>1</v>
      </c>
      <c r="L37" s="1">
        <v>1</v>
      </c>
    </row>
    <row r="38" spans="1:12" x14ac:dyDescent="0.3">
      <c r="A38" s="1" t="s">
        <v>53</v>
      </c>
      <c r="B38" s="1" t="s">
        <v>94</v>
      </c>
      <c r="C38" s="1">
        <v>78</v>
      </c>
      <c r="E38" s="1" t="s">
        <v>246</v>
      </c>
      <c r="F38" s="1">
        <v>2</v>
      </c>
      <c r="G38" s="1">
        <v>2</v>
      </c>
      <c r="H38" s="1">
        <v>1</v>
      </c>
      <c r="I38" s="1">
        <v>1</v>
      </c>
      <c r="J38" s="1" t="s">
        <v>54</v>
      </c>
      <c r="K38" s="1">
        <v>1</v>
      </c>
      <c r="L38" s="1">
        <v>1</v>
      </c>
    </row>
    <row r="39" spans="1:12" x14ac:dyDescent="0.3">
      <c r="A39" s="1" t="s">
        <v>53</v>
      </c>
      <c r="B39" s="1" t="s">
        <v>95</v>
      </c>
      <c r="C39" s="1">
        <v>66</v>
      </c>
      <c r="E39" s="1" t="s">
        <v>54</v>
      </c>
      <c r="F39" s="1">
        <v>1</v>
      </c>
      <c r="G39" s="1">
        <v>1</v>
      </c>
      <c r="H39" s="1">
        <v>0</v>
      </c>
      <c r="I39" s="1">
        <v>1</v>
      </c>
      <c r="J39" s="1" t="s">
        <v>54</v>
      </c>
      <c r="K39" s="1">
        <v>1</v>
      </c>
      <c r="L39" s="1">
        <v>0</v>
      </c>
    </row>
    <row r="40" spans="1:12" x14ac:dyDescent="0.3">
      <c r="A40" s="1" t="s">
        <v>53</v>
      </c>
      <c r="B40" s="1" t="s">
        <v>97</v>
      </c>
      <c r="C40" s="1">
        <v>134</v>
      </c>
      <c r="E40" s="1" t="s">
        <v>246</v>
      </c>
      <c r="F40" s="1">
        <v>2</v>
      </c>
      <c r="G40" s="1">
        <v>2</v>
      </c>
      <c r="H40" s="1">
        <v>1</v>
      </c>
      <c r="I40" s="1">
        <v>1</v>
      </c>
      <c r="J40" s="1" t="s">
        <v>54</v>
      </c>
      <c r="K40" s="1">
        <v>1</v>
      </c>
      <c r="L40" s="1">
        <v>1</v>
      </c>
    </row>
    <row r="41" spans="1:12" x14ac:dyDescent="0.3">
      <c r="A41" s="1" t="s">
        <v>53</v>
      </c>
      <c r="B41" s="1" t="s">
        <v>216</v>
      </c>
      <c r="C41" s="1">
        <v>74</v>
      </c>
      <c r="E41" s="1" t="s">
        <v>246</v>
      </c>
      <c r="F41" s="1">
        <v>2</v>
      </c>
      <c r="G41" s="1">
        <v>2</v>
      </c>
      <c r="H41" s="1">
        <v>1</v>
      </c>
      <c r="I41" s="1">
        <v>1</v>
      </c>
      <c r="J41" s="1" t="s">
        <v>54</v>
      </c>
      <c r="K41" s="1">
        <v>1</v>
      </c>
      <c r="L41" s="1">
        <v>1</v>
      </c>
    </row>
    <row r="42" spans="1:12" x14ac:dyDescent="0.3">
      <c r="A42" s="1" t="s">
        <v>53</v>
      </c>
      <c r="B42" s="1" t="s">
        <v>100</v>
      </c>
      <c r="C42" s="1">
        <v>8</v>
      </c>
      <c r="D42" s="1">
        <v>8</v>
      </c>
      <c r="E42" s="1" t="s">
        <v>318</v>
      </c>
      <c r="F42" s="1">
        <v>5</v>
      </c>
      <c r="G42" s="1">
        <v>5</v>
      </c>
      <c r="H42" s="1">
        <v>4</v>
      </c>
      <c r="I42" s="1">
        <v>1</v>
      </c>
      <c r="J42" s="1" t="s">
        <v>325</v>
      </c>
      <c r="K42" s="1">
        <v>5</v>
      </c>
      <c r="L42" s="1">
        <v>0</v>
      </c>
    </row>
    <row r="43" spans="1:12" x14ac:dyDescent="0.3">
      <c r="A43" s="1" t="s">
        <v>53</v>
      </c>
      <c r="B43" s="1" t="s">
        <v>101</v>
      </c>
      <c r="C43" s="1">
        <v>82</v>
      </c>
      <c r="E43" s="1" t="s">
        <v>54</v>
      </c>
      <c r="F43" s="1">
        <v>1</v>
      </c>
      <c r="G43" s="1">
        <v>1</v>
      </c>
      <c r="H43" s="1">
        <v>0</v>
      </c>
      <c r="I43" s="1">
        <v>1</v>
      </c>
      <c r="J43" s="1" t="s">
        <v>54</v>
      </c>
      <c r="K43" s="1">
        <v>1</v>
      </c>
      <c r="L43" s="1">
        <v>0</v>
      </c>
    </row>
    <row r="44" spans="1:12" x14ac:dyDescent="0.3">
      <c r="A44" s="1" t="s">
        <v>53</v>
      </c>
      <c r="B44" s="1" t="s">
        <v>208</v>
      </c>
      <c r="C44" s="1">
        <v>42</v>
      </c>
      <c r="E44" s="1" t="s">
        <v>54</v>
      </c>
      <c r="F44" s="1">
        <v>1</v>
      </c>
      <c r="G44" s="1">
        <v>1</v>
      </c>
      <c r="H44" s="1">
        <v>0</v>
      </c>
      <c r="I44" s="1">
        <v>1</v>
      </c>
      <c r="J44" s="1" t="s">
        <v>246</v>
      </c>
      <c r="K44" s="1">
        <v>2</v>
      </c>
      <c r="L44" s="1">
        <v>-1</v>
      </c>
    </row>
    <row r="45" spans="1:12" x14ac:dyDescent="0.3">
      <c r="A45" s="1" t="s">
        <v>53</v>
      </c>
      <c r="B45" s="1" t="s">
        <v>103</v>
      </c>
      <c r="C45" s="1">
        <v>4</v>
      </c>
      <c r="D45" s="1">
        <v>4</v>
      </c>
      <c r="E45" s="1" t="s">
        <v>279</v>
      </c>
      <c r="F45" s="1">
        <v>3</v>
      </c>
      <c r="G45" s="1">
        <v>3</v>
      </c>
      <c r="H45" s="1">
        <v>2</v>
      </c>
      <c r="I45" s="1">
        <v>1</v>
      </c>
      <c r="J45" s="1" t="s">
        <v>326</v>
      </c>
      <c r="K45" s="1">
        <v>6</v>
      </c>
      <c r="L45" s="1">
        <v>-3</v>
      </c>
    </row>
    <row r="46" spans="1:12" x14ac:dyDescent="0.3">
      <c r="A46" s="1" t="s">
        <v>53</v>
      </c>
      <c r="B46" s="1" t="s">
        <v>104</v>
      </c>
      <c r="C46" s="1" t="s">
        <v>396</v>
      </c>
      <c r="E46" s="1" t="s">
        <v>54</v>
      </c>
      <c r="F46" s="1">
        <v>1</v>
      </c>
      <c r="G46" s="1">
        <v>1</v>
      </c>
      <c r="H46" s="1">
        <v>0</v>
      </c>
      <c r="I46" s="1">
        <v>1</v>
      </c>
    </row>
    <row r="47" spans="1:12" x14ac:dyDescent="0.3">
      <c r="A47" s="1" t="s">
        <v>53</v>
      </c>
      <c r="B47" s="1" t="s">
        <v>169</v>
      </c>
      <c r="C47" s="1">
        <v>53</v>
      </c>
      <c r="E47" s="1" t="s">
        <v>54</v>
      </c>
      <c r="F47" s="1">
        <v>1</v>
      </c>
      <c r="G47" s="1">
        <v>1</v>
      </c>
      <c r="H47" s="1">
        <v>0</v>
      </c>
      <c r="I47" s="1">
        <v>1</v>
      </c>
      <c r="J47" s="1" t="s">
        <v>246</v>
      </c>
      <c r="K47" s="1">
        <v>2</v>
      </c>
      <c r="L47" s="1">
        <v>-1</v>
      </c>
    </row>
    <row r="48" spans="1:12" x14ac:dyDescent="0.3">
      <c r="A48" s="1" t="s">
        <v>53</v>
      </c>
      <c r="B48" s="1" t="s">
        <v>106</v>
      </c>
      <c r="C48" s="1">
        <v>151</v>
      </c>
      <c r="E48" s="1" t="s">
        <v>246</v>
      </c>
      <c r="F48" s="1">
        <v>2</v>
      </c>
      <c r="G48" s="1">
        <v>2</v>
      </c>
      <c r="H48" s="1">
        <v>1</v>
      </c>
      <c r="I48" s="1">
        <v>1</v>
      </c>
      <c r="J48" s="1" t="s">
        <v>54</v>
      </c>
      <c r="K48" s="1">
        <v>1</v>
      </c>
      <c r="L48" s="1">
        <v>1</v>
      </c>
    </row>
    <row r="49" spans="1:12" x14ac:dyDescent="0.3">
      <c r="A49" s="1" t="s">
        <v>53</v>
      </c>
      <c r="B49" s="1" t="s">
        <v>107</v>
      </c>
      <c r="C49" s="1">
        <v>88</v>
      </c>
      <c r="E49" s="1" t="s">
        <v>54</v>
      </c>
      <c r="F49" s="1">
        <v>1</v>
      </c>
      <c r="G49" s="1">
        <v>1</v>
      </c>
      <c r="H49" s="1">
        <v>0</v>
      </c>
      <c r="I49" s="1">
        <v>1</v>
      </c>
      <c r="J49" s="1" t="s">
        <v>54</v>
      </c>
      <c r="K49" s="1">
        <v>1</v>
      </c>
      <c r="L49" s="1">
        <v>0</v>
      </c>
    </row>
    <row r="50" spans="1:12" x14ac:dyDescent="0.3">
      <c r="A50" s="1" t="s">
        <v>53</v>
      </c>
      <c r="B50" s="1" t="s">
        <v>109</v>
      </c>
      <c r="C50" s="1">
        <v>93</v>
      </c>
      <c r="E50" s="1" t="s">
        <v>246</v>
      </c>
      <c r="F50" s="1">
        <v>2</v>
      </c>
      <c r="G50" s="1">
        <v>2</v>
      </c>
      <c r="H50" s="1">
        <v>1</v>
      </c>
      <c r="I50" s="1">
        <v>1</v>
      </c>
      <c r="J50" s="1" t="s">
        <v>54</v>
      </c>
      <c r="K50" s="1">
        <v>1</v>
      </c>
      <c r="L50" s="1">
        <v>1</v>
      </c>
    </row>
    <row r="51" spans="1:12" x14ac:dyDescent="0.3">
      <c r="A51" s="1" t="s">
        <v>53</v>
      </c>
      <c r="B51" s="1" t="s">
        <v>172</v>
      </c>
      <c r="C51" s="1">
        <v>10</v>
      </c>
      <c r="D51" s="1">
        <v>10</v>
      </c>
      <c r="E51" s="1" t="s">
        <v>54</v>
      </c>
      <c r="F51" s="1">
        <v>1</v>
      </c>
      <c r="G51" s="1">
        <v>1</v>
      </c>
      <c r="H51" s="1">
        <v>0</v>
      </c>
      <c r="I51" s="1">
        <v>1</v>
      </c>
      <c r="J51" s="1" t="s">
        <v>295</v>
      </c>
      <c r="K51" s="1">
        <v>4</v>
      </c>
      <c r="L51" s="1">
        <v>-3</v>
      </c>
    </row>
    <row r="52" spans="1:12" x14ac:dyDescent="0.3">
      <c r="A52" s="1" t="s">
        <v>53</v>
      </c>
      <c r="B52" s="1" t="s">
        <v>110</v>
      </c>
      <c r="C52" s="1">
        <v>85</v>
      </c>
      <c r="E52" s="1" t="s">
        <v>54</v>
      </c>
      <c r="F52" s="1">
        <v>1</v>
      </c>
      <c r="G52" s="1">
        <v>1</v>
      </c>
      <c r="H52" s="1">
        <v>0</v>
      </c>
      <c r="I52" s="1">
        <v>1</v>
      </c>
      <c r="J52" s="1" t="s">
        <v>54</v>
      </c>
      <c r="K52" s="1">
        <v>1</v>
      </c>
      <c r="L52" s="1">
        <v>0</v>
      </c>
    </row>
    <row r="53" spans="1:12" x14ac:dyDescent="0.3">
      <c r="A53" s="1" t="s">
        <v>53</v>
      </c>
      <c r="B53" s="1" t="s">
        <v>113</v>
      </c>
      <c r="C53" s="1">
        <v>30</v>
      </c>
      <c r="D53" s="1">
        <v>30</v>
      </c>
      <c r="E53" s="1" t="s">
        <v>54</v>
      </c>
      <c r="F53" s="1">
        <v>1</v>
      </c>
      <c r="G53" s="1">
        <v>1</v>
      </c>
      <c r="H53" s="1">
        <v>0</v>
      </c>
      <c r="I53" s="1">
        <v>1</v>
      </c>
      <c r="J53" s="1" t="s">
        <v>279</v>
      </c>
      <c r="K53" s="1">
        <v>3</v>
      </c>
      <c r="L53" s="1">
        <v>-2</v>
      </c>
    </row>
    <row r="54" spans="1:12" x14ac:dyDescent="0.3">
      <c r="A54" s="1" t="s">
        <v>53</v>
      </c>
      <c r="B54" s="1" t="s">
        <v>181</v>
      </c>
      <c r="C54" s="1">
        <v>83</v>
      </c>
      <c r="E54" s="1" t="s">
        <v>54</v>
      </c>
      <c r="F54" s="1">
        <v>1</v>
      </c>
      <c r="G54" s="1">
        <v>1</v>
      </c>
      <c r="H54" s="1">
        <v>0</v>
      </c>
      <c r="I54" s="1">
        <v>1</v>
      </c>
      <c r="J54" s="1" t="s">
        <v>54</v>
      </c>
      <c r="K54" s="1">
        <v>1</v>
      </c>
      <c r="L54" s="1">
        <v>0</v>
      </c>
    </row>
    <row r="55" spans="1:12" x14ac:dyDescent="0.3">
      <c r="A55" s="1" t="s">
        <v>53</v>
      </c>
      <c r="B55" s="1" t="s">
        <v>115</v>
      </c>
      <c r="C55" s="1">
        <v>21</v>
      </c>
      <c r="D55" s="1">
        <v>21</v>
      </c>
      <c r="E55" s="1" t="s">
        <v>319</v>
      </c>
      <c r="F55" s="1">
        <v>6</v>
      </c>
      <c r="G55" s="1">
        <v>6</v>
      </c>
      <c r="H55" s="1">
        <v>5</v>
      </c>
      <c r="I55" s="1">
        <v>1</v>
      </c>
      <c r="J55" s="1" t="s">
        <v>279</v>
      </c>
      <c r="K55" s="1">
        <v>3</v>
      </c>
      <c r="L55" s="1">
        <v>3</v>
      </c>
    </row>
    <row r="56" spans="1:12" x14ac:dyDescent="0.3">
      <c r="A56" s="1" t="s">
        <v>53</v>
      </c>
      <c r="B56" s="1" t="s">
        <v>213</v>
      </c>
      <c r="C56" s="1">
        <v>94</v>
      </c>
      <c r="E56" s="1" t="s">
        <v>246</v>
      </c>
      <c r="F56" s="1">
        <v>2</v>
      </c>
      <c r="G56" s="1">
        <v>2</v>
      </c>
      <c r="H56" s="1">
        <v>1</v>
      </c>
      <c r="I56" s="1">
        <v>1</v>
      </c>
      <c r="J56" s="1" t="s">
        <v>54</v>
      </c>
      <c r="K56" s="1">
        <v>1</v>
      </c>
      <c r="L56" s="1">
        <v>1</v>
      </c>
    </row>
    <row r="57" spans="1:12" x14ac:dyDescent="0.3">
      <c r="A57" s="1" t="s">
        <v>53</v>
      </c>
      <c r="B57" s="1" t="s">
        <v>116</v>
      </c>
      <c r="C57" s="1">
        <v>37</v>
      </c>
      <c r="E57" s="1" t="s">
        <v>54</v>
      </c>
      <c r="F57" s="1">
        <v>1</v>
      </c>
      <c r="G57" s="1">
        <v>1</v>
      </c>
      <c r="H57" s="1">
        <v>0</v>
      </c>
      <c r="I57" s="1">
        <v>1</v>
      </c>
      <c r="J57" s="1" t="s">
        <v>246</v>
      </c>
      <c r="K57" s="1">
        <v>2</v>
      </c>
      <c r="L57" s="1">
        <v>-1</v>
      </c>
    </row>
    <row r="58" spans="1:12" x14ac:dyDescent="0.3">
      <c r="A58" s="1" t="s">
        <v>53</v>
      </c>
      <c r="B58" s="1" t="s">
        <v>119</v>
      </c>
      <c r="C58" s="1">
        <v>117</v>
      </c>
      <c r="E58" s="1" t="s">
        <v>54</v>
      </c>
      <c r="F58" s="1">
        <v>1</v>
      </c>
      <c r="G58" s="1">
        <v>1</v>
      </c>
      <c r="H58" s="1">
        <v>0</v>
      </c>
      <c r="I58" s="1">
        <v>1</v>
      </c>
      <c r="J58" s="1" t="s">
        <v>54</v>
      </c>
      <c r="K58" s="1">
        <v>1</v>
      </c>
      <c r="L58" s="1">
        <v>0</v>
      </c>
    </row>
    <row r="59" spans="1:12" x14ac:dyDescent="0.3">
      <c r="A59" s="1" t="s">
        <v>53</v>
      </c>
      <c r="B59" s="1" t="s">
        <v>202</v>
      </c>
      <c r="C59" s="1">
        <v>210</v>
      </c>
      <c r="E59" s="1" t="s">
        <v>54</v>
      </c>
      <c r="F59" s="1">
        <v>1</v>
      </c>
      <c r="G59" s="1">
        <v>1</v>
      </c>
      <c r="H59" s="1">
        <v>0</v>
      </c>
      <c r="I59" s="1">
        <v>1</v>
      </c>
      <c r="J59" s="1" t="s">
        <v>54</v>
      </c>
      <c r="K59" s="1">
        <v>1</v>
      </c>
      <c r="L59" s="1">
        <v>0</v>
      </c>
    </row>
    <row r="60" spans="1:12" x14ac:dyDescent="0.3">
      <c r="A60" s="1" t="s">
        <v>53</v>
      </c>
      <c r="B60" s="1" t="s">
        <v>121</v>
      </c>
      <c r="C60" s="1">
        <v>58</v>
      </c>
      <c r="E60" s="1" t="s">
        <v>246</v>
      </c>
      <c r="F60" s="1">
        <v>2</v>
      </c>
      <c r="G60" s="1">
        <v>2</v>
      </c>
      <c r="H60" s="1">
        <v>1</v>
      </c>
      <c r="I60" s="1">
        <v>1</v>
      </c>
      <c r="J60" s="1" t="s">
        <v>246</v>
      </c>
      <c r="K60" s="1">
        <v>2</v>
      </c>
      <c r="L60" s="1">
        <v>0</v>
      </c>
    </row>
    <row r="61" spans="1:12" x14ac:dyDescent="0.3">
      <c r="A61" s="1" t="s">
        <v>53</v>
      </c>
      <c r="B61" s="1" t="s">
        <v>124</v>
      </c>
      <c r="C61" s="1">
        <v>16</v>
      </c>
      <c r="D61" s="1">
        <v>16</v>
      </c>
      <c r="E61" s="1" t="s">
        <v>279</v>
      </c>
      <c r="F61" s="1">
        <v>3</v>
      </c>
      <c r="G61" s="1">
        <v>3</v>
      </c>
      <c r="H61" s="1">
        <v>2</v>
      </c>
      <c r="I61" s="1">
        <v>1</v>
      </c>
      <c r="J61" s="1" t="s">
        <v>295</v>
      </c>
      <c r="K61" s="1">
        <v>4</v>
      </c>
      <c r="L61" s="1">
        <v>-1</v>
      </c>
    </row>
    <row r="62" spans="1:12" x14ac:dyDescent="0.3">
      <c r="A62" s="1" t="s">
        <v>53</v>
      </c>
      <c r="B62" s="1" t="s">
        <v>210</v>
      </c>
      <c r="C62" s="1">
        <v>59</v>
      </c>
      <c r="E62" s="1" t="s">
        <v>279</v>
      </c>
      <c r="F62" s="1">
        <v>3</v>
      </c>
      <c r="G62" s="1">
        <v>3</v>
      </c>
      <c r="H62" s="1">
        <v>2</v>
      </c>
      <c r="I62" s="1">
        <v>1</v>
      </c>
      <c r="J62" s="1" t="s">
        <v>246</v>
      </c>
      <c r="K62" s="1">
        <v>2</v>
      </c>
      <c r="L62" s="1">
        <v>1</v>
      </c>
    </row>
    <row r="63" spans="1:12" x14ac:dyDescent="0.3">
      <c r="A63" s="1" t="s">
        <v>53</v>
      </c>
      <c r="B63" s="1" t="s">
        <v>125</v>
      </c>
      <c r="C63" s="1">
        <v>38</v>
      </c>
      <c r="E63" s="1" t="s">
        <v>54</v>
      </c>
      <c r="F63" s="1">
        <v>1</v>
      </c>
      <c r="G63" s="1">
        <v>1</v>
      </c>
      <c r="H63" s="1">
        <v>0</v>
      </c>
      <c r="I63" s="1">
        <v>1</v>
      </c>
      <c r="J63" s="1" t="s">
        <v>246</v>
      </c>
      <c r="K63" s="1">
        <v>2</v>
      </c>
      <c r="L63" s="1">
        <v>-1</v>
      </c>
    </row>
    <row r="64" spans="1:12" x14ac:dyDescent="0.3">
      <c r="A64" s="1" t="s">
        <v>53</v>
      </c>
      <c r="B64" s="1" t="s">
        <v>127</v>
      </c>
      <c r="C64" s="1">
        <v>113</v>
      </c>
      <c r="E64" s="1" t="s">
        <v>246</v>
      </c>
      <c r="F64" s="1">
        <v>2</v>
      </c>
      <c r="G64" s="1">
        <v>2</v>
      </c>
      <c r="H64" s="1">
        <v>1</v>
      </c>
      <c r="I64" s="1">
        <v>1</v>
      </c>
      <c r="J64" s="1" t="s">
        <v>54</v>
      </c>
      <c r="K64" s="1">
        <v>1</v>
      </c>
      <c r="L64" s="1">
        <v>1</v>
      </c>
    </row>
    <row r="65" spans="1:12" x14ac:dyDescent="0.3">
      <c r="A65" s="1" t="s">
        <v>53</v>
      </c>
      <c r="B65" s="1" t="s">
        <v>128</v>
      </c>
      <c r="C65" s="1">
        <v>9</v>
      </c>
      <c r="D65" s="1">
        <v>9</v>
      </c>
      <c r="E65" s="1" t="s">
        <v>54</v>
      </c>
      <c r="F65" s="1">
        <v>1</v>
      </c>
      <c r="G65" s="1">
        <v>1</v>
      </c>
      <c r="H65" s="1">
        <v>0</v>
      </c>
      <c r="I65" s="1">
        <v>1</v>
      </c>
      <c r="J65" s="1" t="s">
        <v>295</v>
      </c>
      <c r="K65" s="1">
        <v>4</v>
      </c>
      <c r="L65" s="1">
        <v>-3</v>
      </c>
    </row>
    <row r="66" spans="1:12" x14ac:dyDescent="0.3">
      <c r="A66" s="1" t="s">
        <v>53</v>
      </c>
      <c r="B66" s="1" t="s">
        <v>130</v>
      </c>
      <c r="C66" s="1">
        <v>54</v>
      </c>
      <c r="E66" s="1" t="s">
        <v>318</v>
      </c>
      <c r="F66" s="1">
        <v>5</v>
      </c>
      <c r="G66" s="1">
        <v>5</v>
      </c>
      <c r="H66" s="1">
        <v>4</v>
      </c>
      <c r="I66" s="1">
        <v>1</v>
      </c>
      <c r="J66" s="1" t="s">
        <v>246</v>
      </c>
      <c r="K66" s="1">
        <v>2</v>
      </c>
      <c r="L66" s="1">
        <v>3</v>
      </c>
    </row>
    <row r="67" spans="1:12" x14ac:dyDescent="0.3">
      <c r="A67" s="1" t="s">
        <v>53</v>
      </c>
      <c r="B67" s="1" t="s">
        <v>142</v>
      </c>
      <c r="C67" s="1">
        <v>148</v>
      </c>
      <c r="E67" s="1" t="s">
        <v>246</v>
      </c>
      <c r="F67" s="1">
        <v>2</v>
      </c>
      <c r="G67" s="1">
        <v>2</v>
      </c>
      <c r="H67" s="1">
        <v>1</v>
      </c>
      <c r="I67" s="1">
        <v>1</v>
      </c>
      <c r="J67" s="1" t="s">
        <v>54</v>
      </c>
      <c r="K67" s="1">
        <v>1</v>
      </c>
      <c r="L67" s="1">
        <v>1</v>
      </c>
    </row>
    <row r="68" spans="1:12" x14ac:dyDescent="0.3">
      <c r="A68" s="1" t="s">
        <v>53</v>
      </c>
      <c r="B68" s="1" t="s">
        <v>133</v>
      </c>
      <c r="C68" s="1">
        <v>57</v>
      </c>
      <c r="E68" s="1" t="s">
        <v>279</v>
      </c>
      <c r="F68" s="1">
        <v>3</v>
      </c>
      <c r="G68" s="1">
        <v>3</v>
      </c>
      <c r="H68" s="1">
        <v>2</v>
      </c>
      <c r="I68" s="1">
        <v>1</v>
      </c>
      <c r="J68" s="1" t="s">
        <v>246</v>
      </c>
      <c r="K68" s="1">
        <v>2</v>
      </c>
      <c r="L68" s="1">
        <v>1</v>
      </c>
    </row>
    <row r="69" spans="1:12" x14ac:dyDescent="0.3">
      <c r="A69" s="1" t="s">
        <v>53</v>
      </c>
      <c r="B69" s="1" t="s">
        <v>244</v>
      </c>
      <c r="C69" s="1">
        <v>104</v>
      </c>
      <c r="E69" s="1" t="s">
        <v>54</v>
      </c>
      <c r="F69" s="1">
        <v>1</v>
      </c>
      <c r="G69" s="1">
        <v>1</v>
      </c>
      <c r="H69" s="1">
        <v>0</v>
      </c>
      <c r="I69" s="1">
        <v>1</v>
      </c>
      <c r="J69" s="1" t="s">
        <v>54</v>
      </c>
      <c r="K69" s="1">
        <v>1</v>
      </c>
      <c r="L69" s="1">
        <v>0</v>
      </c>
    </row>
    <row r="70" spans="1:12" x14ac:dyDescent="0.3">
      <c r="A70" s="1" t="s">
        <v>53</v>
      </c>
      <c r="B70" s="1" t="s">
        <v>134</v>
      </c>
      <c r="C70" s="1">
        <v>76</v>
      </c>
      <c r="E70" s="1" t="s">
        <v>54</v>
      </c>
      <c r="F70" s="1">
        <v>1</v>
      </c>
      <c r="G70" s="1">
        <v>1</v>
      </c>
      <c r="H70" s="1">
        <v>0</v>
      </c>
      <c r="I70" s="1">
        <v>1</v>
      </c>
      <c r="J70" s="1" t="s">
        <v>54</v>
      </c>
      <c r="K70" s="1">
        <v>1</v>
      </c>
      <c r="L70" s="1">
        <v>0</v>
      </c>
    </row>
    <row r="71" spans="1:12" x14ac:dyDescent="0.3">
      <c r="A71" s="1" t="s">
        <v>53</v>
      </c>
      <c r="B71" s="1" t="s">
        <v>136</v>
      </c>
      <c r="C71" s="1">
        <v>17</v>
      </c>
      <c r="D71" s="1">
        <v>17</v>
      </c>
      <c r="E71" s="1" t="s">
        <v>246</v>
      </c>
      <c r="F71" s="1">
        <v>2</v>
      </c>
      <c r="G71" s="1">
        <v>2</v>
      </c>
      <c r="H71" s="1">
        <v>1</v>
      </c>
      <c r="I71" s="1">
        <v>1</v>
      </c>
      <c r="J71" s="1" t="s">
        <v>279</v>
      </c>
      <c r="K71" s="1">
        <v>3</v>
      </c>
      <c r="L71" s="1">
        <v>-1</v>
      </c>
    </row>
    <row r="72" spans="1:12" x14ac:dyDescent="0.3">
      <c r="A72" s="1" t="s">
        <v>53</v>
      </c>
      <c r="B72" s="1" t="s">
        <v>137</v>
      </c>
      <c r="C72" s="1">
        <v>60</v>
      </c>
      <c r="E72" s="1" t="s">
        <v>54</v>
      </c>
      <c r="F72" s="1">
        <v>1</v>
      </c>
      <c r="G72" s="1">
        <v>1</v>
      </c>
      <c r="H72" s="1">
        <v>0</v>
      </c>
      <c r="I72" s="1">
        <v>1</v>
      </c>
      <c r="J72" s="1" t="s">
        <v>246</v>
      </c>
      <c r="K72" s="1">
        <v>2</v>
      </c>
      <c r="L72" s="1">
        <v>-1</v>
      </c>
    </row>
    <row r="73" spans="1:12" x14ac:dyDescent="0.3">
      <c r="A73" s="1" t="s">
        <v>53</v>
      </c>
      <c r="B73" s="1" t="s">
        <v>217</v>
      </c>
      <c r="C73" s="1">
        <v>106</v>
      </c>
      <c r="E73" s="1" t="s">
        <v>54</v>
      </c>
      <c r="F73" s="1">
        <v>1</v>
      </c>
      <c r="G73" s="1">
        <v>1</v>
      </c>
      <c r="H73" s="1">
        <v>0</v>
      </c>
      <c r="I73" s="1">
        <v>1</v>
      </c>
      <c r="J73" s="1" t="s">
        <v>54</v>
      </c>
      <c r="K73" s="1">
        <v>1</v>
      </c>
      <c r="L73" s="1">
        <v>0</v>
      </c>
    </row>
    <row r="74" spans="1:12" x14ac:dyDescent="0.3">
      <c r="A74" s="1" t="s">
        <v>53</v>
      </c>
      <c r="B74" s="1" t="s">
        <v>139</v>
      </c>
      <c r="C74" s="1">
        <v>69</v>
      </c>
      <c r="E74" s="1" t="s">
        <v>279</v>
      </c>
      <c r="F74" s="1">
        <v>3</v>
      </c>
      <c r="G74" s="1">
        <v>3</v>
      </c>
      <c r="H74" s="1">
        <v>2</v>
      </c>
      <c r="I74" s="1">
        <v>1</v>
      </c>
      <c r="J74" s="1" t="s">
        <v>54</v>
      </c>
      <c r="K74" s="1">
        <v>1</v>
      </c>
      <c r="L74" s="1">
        <v>2</v>
      </c>
    </row>
    <row r="75" spans="1:12" x14ac:dyDescent="0.3">
      <c r="A75" s="1" t="s">
        <v>53</v>
      </c>
      <c r="B75" s="1" t="s">
        <v>140</v>
      </c>
      <c r="C75" s="1">
        <v>25</v>
      </c>
      <c r="D75" s="1">
        <v>25</v>
      </c>
      <c r="E75" s="1" t="s">
        <v>54</v>
      </c>
      <c r="F75" s="1">
        <v>1</v>
      </c>
      <c r="G75" s="1">
        <v>1</v>
      </c>
      <c r="H75" s="1">
        <v>0</v>
      </c>
      <c r="I75" s="1">
        <v>1</v>
      </c>
      <c r="J75" s="1" t="s">
        <v>279</v>
      </c>
      <c r="K75" s="1">
        <v>3</v>
      </c>
      <c r="L75" s="1">
        <v>-2</v>
      </c>
    </row>
    <row r="76" spans="1:12" x14ac:dyDescent="0.3">
      <c r="A76" s="1" t="s">
        <v>53</v>
      </c>
      <c r="B76" s="1" t="s">
        <v>220</v>
      </c>
      <c r="C76" s="1">
        <v>64</v>
      </c>
      <c r="E76" s="1" t="s">
        <v>54</v>
      </c>
      <c r="F76" s="1">
        <v>1</v>
      </c>
      <c r="G76" s="1">
        <v>1</v>
      </c>
      <c r="H76" s="1">
        <v>0</v>
      </c>
      <c r="I76" s="1">
        <v>1</v>
      </c>
      <c r="J76" s="1" t="s">
        <v>246</v>
      </c>
      <c r="K76" s="1">
        <v>2</v>
      </c>
      <c r="L76" s="1">
        <v>-1</v>
      </c>
    </row>
    <row r="77" spans="1:12" x14ac:dyDescent="0.3">
      <c r="A77" s="1" t="s">
        <v>53</v>
      </c>
      <c r="B77" s="1" t="s">
        <v>143</v>
      </c>
      <c r="C77" s="1">
        <v>79</v>
      </c>
      <c r="E77" s="1" t="s">
        <v>54</v>
      </c>
      <c r="F77" s="1">
        <v>1</v>
      </c>
      <c r="G77" s="1">
        <v>1</v>
      </c>
      <c r="H77" s="1">
        <v>0</v>
      </c>
      <c r="I77" s="1">
        <v>1</v>
      </c>
      <c r="J77" s="1" t="s">
        <v>54</v>
      </c>
      <c r="K77" s="1">
        <v>1</v>
      </c>
      <c r="L77" s="1">
        <v>0</v>
      </c>
    </row>
    <row r="78" spans="1:12" x14ac:dyDescent="0.3">
      <c r="A78" s="1" t="s">
        <v>53</v>
      </c>
      <c r="B78" s="1" t="s">
        <v>144</v>
      </c>
      <c r="C78" s="1">
        <v>120</v>
      </c>
      <c r="E78" s="1" t="s">
        <v>295</v>
      </c>
      <c r="F78" s="1">
        <v>4</v>
      </c>
      <c r="G78" s="1">
        <v>4</v>
      </c>
      <c r="H78" s="1">
        <v>3</v>
      </c>
      <c r="I78" s="1">
        <v>1</v>
      </c>
      <c r="J78" s="1" t="s">
        <v>54</v>
      </c>
      <c r="K78" s="1">
        <v>1</v>
      </c>
      <c r="L78" s="1">
        <v>3</v>
      </c>
    </row>
    <row r="79" spans="1:12" x14ac:dyDescent="0.3">
      <c r="A79" s="1" t="s">
        <v>53</v>
      </c>
      <c r="B79" s="1" t="s">
        <v>192</v>
      </c>
      <c r="C79" s="1">
        <v>63</v>
      </c>
      <c r="E79" s="1" t="s">
        <v>246</v>
      </c>
      <c r="F79" s="1">
        <v>2</v>
      </c>
      <c r="G79" s="1">
        <v>2</v>
      </c>
      <c r="H79" s="1">
        <v>1</v>
      </c>
      <c r="I79" s="1">
        <v>1</v>
      </c>
      <c r="J79" s="1" t="s">
        <v>246</v>
      </c>
      <c r="K79" s="1">
        <v>2</v>
      </c>
      <c r="L79" s="1">
        <v>0</v>
      </c>
    </row>
    <row r="80" spans="1:12" x14ac:dyDescent="0.3">
      <c r="A80" s="1" t="s">
        <v>53</v>
      </c>
      <c r="B80" s="1" t="s">
        <v>145</v>
      </c>
      <c r="C80" s="1">
        <v>95</v>
      </c>
      <c r="E80" s="1" t="s">
        <v>54</v>
      </c>
      <c r="F80" s="1">
        <v>1</v>
      </c>
      <c r="G80" s="1">
        <v>1</v>
      </c>
      <c r="H80" s="1">
        <v>0</v>
      </c>
      <c r="I80" s="1">
        <v>1</v>
      </c>
      <c r="J80" s="1" t="s">
        <v>54</v>
      </c>
      <c r="K80" s="1">
        <v>1</v>
      </c>
      <c r="L80" s="1">
        <v>0</v>
      </c>
    </row>
    <row r="81" spans="1:12" x14ac:dyDescent="0.3">
      <c r="A81" s="1" t="s">
        <v>53</v>
      </c>
      <c r="B81" s="1" t="s">
        <v>147</v>
      </c>
      <c r="C81" s="1">
        <v>5</v>
      </c>
      <c r="D81" s="1">
        <v>5</v>
      </c>
      <c r="E81" s="1" t="s">
        <v>246</v>
      </c>
      <c r="F81" s="1">
        <v>2</v>
      </c>
      <c r="G81" s="1">
        <v>2</v>
      </c>
      <c r="H81" s="1">
        <v>1</v>
      </c>
      <c r="I81" s="1">
        <v>1</v>
      </c>
      <c r="J81" s="1" t="s">
        <v>325</v>
      </c>
      <c r="K81" s="1">
        <v>5</v>
      </c>
      <c r="L81" s="1">
        <v>-3</v>
      </c>
    </row>
    <row r="82" spans="1:12" x14ac:dyDescent="0.3">
      <c r="A82" s="1" t="s">
        <v>53</v>
      </c>
      <c r="B82" s="1" t="s">
        <v>148</v>
      </c>
      <c r="C82" s="1">
        <v>414</v>
      </c>
      <c r="E82" s="1" t="s">
        <v>54</v>
      </c>
      <c r="F82" s="1">
        <v>1</v>
      </c>
      <c r="G82" s="1">
        <v>1</v>
      </c>
      <c r="H82" s="1">
        <v>0</v>
      </c>
      <c r="I82" s="1">
        <v>1</v>
      </c>
      <c r="J82" s="1" t="s">
        <v>54</v>
      </c>
      <c r="K82" s="1">
        <v>1</v>
      </c>
      <c r="L82" s="1">
        <v>0</v>
      </c>
    </row>
    <row r="83" spans="1:12" x14ac:dyDescent="0.3">
      <c r="A83" s="1" t="s">
        <v>53</v>
      </c>
      <c r="B83" s="1" t="s">
        <v>151</v>
      </c>
      <c r="C83" s="1">
        <v>133</v>
      </c>
      <c r="E83" s="1" t="s">
        <v>54</v>
      </c>
      <c r="F83" s="1">
        <v>1</v>
      </c>
      <c r="G83" s="1">
        <v>1</v>
      </c>
      <c r="H83" s="1">
        <v>0</v>
      </c>
      <c r="I83" s="1">
        <v>1</v>
      </c>
      <c r="J83" s="1" t="s">
        <v>54</v>
      </c>
      <c r="K83" s="1">
        <v>1</v>
      </c>
      <c r="L83" s="1">
        <v>0</v>
      </c>
    </row>
    <row r="84" spans="1:12" x14ac:dyDescent="0.3">
      <c r="A84" s="1" t="s">
        <v>53</v>
      </c>
      <c r="B84" s="1" t="s">
        <v>177</v>
      </c>
      <c r="C84" s="1">
        <v>77</v>
      </c>
      <c r="E84" s="1" t="s">
        <v>246</v>
      </c>
      <c r="F84" s="1">
        <v>2</v>
      </c>
      <c r="G84" s="1">
        <v>2</v>
      </c>
      <c r="H84" s="1">
        <v>1</v>
      </c>
      <c r="I84" s="1">
        <v>1</v>
      </c>
      <c r="J84" s="1" t="s">
        <v>54</v>
      </c>
      <c r="K84" s="1">
        <v>1</v>
      </c>
      <c r="L84" s="1">
        <v>1</v>
      </c>
    </row>
    <row r="85" spans="1:12" x14ac:dyDescent="0.3">
      <c r="A85" s="1" t="s">
        <v>53</v>
      </c>
      <c r="B85" s="1" t="s">
        <v>153</v>
      </c>
      <c r="C85" s="1">
        <v>124</v>
      </c>
      <c r="E85" s="1" t="s">
        <v>246</v>
      </c>
      <c r="F85" s="1">
        <v>2</v>
      </c>
      <c r="G85" s="1">
        <v>2</v>
      </c>
      <c r="H85" s="1">
        <v>1</v>
      </c>
      <c r="I85" s="1">
        <v>1</v>
      </c>
      <c r="J85" s="1" t="s">
        <v>54</v>
      </c>
      <c r="K85" s="1">
        <v>1</v>
      </c>
      <c r="L85" s="1">
        <v>1</v>
      </c>
    </row>
    <row r="86" spans="1:12" x14ac:dyDescent="0.3">
      <c r="A86" s="1" t="s">
        <v>53</v>
      </c>
      <c r="B86" s="1" t="s">
        <v>154</v>
      </c>
      <c r="C86" s="1">
        <v>99</v>
      </c>
      <c r="E86" s="1" t="s">
        <v>54</v>
      </c>
      <c r="F86" s="1">
        <v>1</v>
      </c>
      <c r="G86" s="1">
        <v>1</v>
      </c>
      <c r="H86" s="1">
        <v>0</v>
      </c>
      <c r="I86" s="1">
        <v>1</v>
      </c>
      <c r="J86" s="1" t="s">
        <v>54</v>
      </c>
      <c r="K86" s="1">
        <v>1</v>
      </c>
      <c r="L86" s="1">
        <v>0</v>
      </c>
    </row>
    <row r="87" spans="1:12" x14ac:dyDescent="0.3">
      <c r="A87" s="1" t="s">
        <v>53</v>
      </c>
      <c r="B87" s="1" t="s">
        <v>156</v>
      </c>
      <c r="C87" s="1">
        <v>171</v>
      </c>
      <c r="E87" s="1" t="s">
        <v>246</v>
      </c>
      <c r="F87" s="1">
        <v>2</v>
      </c>
      <c r="G87" s="1">
        <v>2</v>
      </c>
      <c r="H87" s="1">
        <v>1</v>
      </c>
      <c r="I87" s="1">
        <v>1</v>
      </c>
      <c r="J87" s="1" t="s">
        <v>54</v>
      </c>
      <c r="K87" s="1">
        <v>1</v>
      </c>
      <c r="L87" s="1">
        <v>1</v>
      </c>
    </row>
    <row r="88" spans="1:12" x14ac:dyDescent="0.3">
      <c r="A88" s="1" t="s">
        <v>53</v>
      </c>
      <c r="B88" s="1" t="s">
        <v>157</v>
      </c>
      <c r="C88" s="1">
        <v>236</v>
      </c>
      <c r="E88" s="1" t="s">
        <v>54</v>
      </c>
      <c r="F88" s="1">
        <v>1</v>
      </c>
      <c r="G88" s="1">
        <v>1</v>
      </c>
      <c r="H88" s="1">
        <v>0</v>
      </c>
      <c r="I88" s="1">
        <v>1</v>
      </c>
      <c r="J88" s="1" t="s">
        <v>54</v>
      </c>
      <c r="K88" s="1">
        <v>1</v>
      </c>
      <c r="L88" s="1">
        <v>0</v>
      </c>
    </row>
    <row r="89" spans="1:12" x14ac:dyDescent="0.3">
      <c r="A89" s="1" t="s">
        <v>53</v>
      </c>
      <c r="B89" s="1" t="s">
        <v>159</v>
      </c>
      <c r="C89" s="1">
        <v>26</v>
      </c>
      <c r="D89" s="1">
        <v>26</v>
      </c>
      <c r="E89" s="1" t="s">
        <v>279</v>
      </c>
      <c r="F89" s="1">
        <v>3</v>
      </c>
      <c r="G89" s="1">
        <v>3</v>
      </c>
      <c r="H89" s="1">
        <v>2</v>
      </c>
      <c r="I89" s="1">
        <v>1</v>
      </c>
      <c r="J89" s="1" t="s">
        <v>279</v>
      </c>
      <c r="K89" s="1">
        <v>3</v>
      </c>
      <c r="L89" s="1">
        <v>0</v>
      </c>
    </row>
    <row r="90" spans="1:12" x14ac:dyDescent="0.3">
      <c r="A90" s="1" t="s">
        <v>53</v>
      </c>
      <c r="B90" s="1" t="s">
        <v>186</v>
      </c>
      <c r="C90" s="1">
        <v>27</v>
      </c>
      <c r="D90" s="1">
        <v>27</v>
      </c>
      <c r="E90" s="1" t="s">
        <v>246</v>
      </c>
      <c r="F90" s="1">
        <v>2</v>
      </c>
      <c r="G90" s="1">
        <v>2</v>
      </c>
      <c r="H90" s="1">
        <v>1</v>
      </c>
      <c r="I90" s="1">
        <v>1</v>
      </c>
      <c r="J90" s="1" t="s">
        <v>279</v>
      </c>
      <c r="K90" s="1">
        <v>3</v>
      </c>
      <c r="L90" s="1">
        <v>-1</v>
      </c>
    </row>
    <row r="91" spans="1:12" x14ac:dyDescent="0.3">
      <c r="A91" s="1" t="s">
        <v>53</v>
      </c>
      <c r="B91" s="1" t="s">
        <v>160</v>
      </c>
      <c r="C91" s="1">
        <v>96</v>
      </c>
      <c r="E91" s="1" t="s">
        <v>54</v>
      </c>
      <c r="F91" s="1">
        <v>1</v>
      </c>
      <c r="G91" s="1">
        <v>1</v>
      </c>
      <c r="H91" s="1">
        <v>0</v>
      </c>
      <c r="I91" s="1">
        <v>1</v>
      </c>
      <c r="J91" s="1" t="s">
        <v>54</v>
      </c>
      <c r="K91" s="1">
        <v>1</v>
      </c>
      <c r="L91" s="1">
        <v>0</v>
      </c>
    </row>
    <row r="92" spans="1:12" x14ac:dyDescent="0.3">
      <c r="A92" s="1" t="s">
        <v>53</v>
      </c>
      <c r="B92" s="1" t="s">
        <v>162</v>
      </c>
      <c r="C92" s="1">
        <v>24</v>
      </c>
      <c r="D92" s="1">
        <v>24</v>
      </c>
      <c r="E92" s="1" t="s">
        <v>295</v>
      </c>
      <c r="F92" s="1">
        <v>4</v>
      </c>
      <c r="G92" s="1">
        <v>4</v>
      </c>
      <c r="H92" s="1">
        <v>3</v>
      </c>
      <c r="I92" s="1">
        <v>1</v>
      </c>
      <c r="J92" s="1" t="s">
        <v>279</v>
      </c>
      <c r="K92" s="1">
        <v>3</v>
      </c>
      <c r="L92" s="1">
        <v>1</v>
      </c>
    </row>
    <row r="93" spans="1:12" x14ac:dyDescent="0.3">
      <c r="A93" s="1" t="s">
        <v>53</v>
      </c>
      <c r="B93" s="1" t="s">
        <v>163</v>
      </c>
      <c r="C93" s="1">
        <v>179</v>
      </c>
      <c r="E93" s="1" t="s">
        <v>54</v>
      </c>
      <c r="F93" s="1">
        <v>1</v>
      </c>
      <c r="G93" s="1">
        <v>1</v>
      </c>
      <c r="H93" s="1">
        <v>0</v>
      </c>
      <c r="I93" s="1">
        <v>1</v>
      </c>
      <c r="J93" s="1" t="s">
        <v>54</v>
      </c>
      <c r="K93" s="1">
        <v>1</v>
      </c>
      <c r="L93" s="1">
        <v>0</v>
      </c>
    </row>
    <row r="94" spans="1:12" x14ac:dyDescent="0.3">
      <c r="A94" s="1" t="s">
        <v>53</v>
      </c>
      <c r="B94" s="1" t="s">
        <v>165</v>
      </c>
      <c r="C94" s="1">
        <v>81</v>
      </c>
      <c r="E94" s="1" t="s">
        <v>246</v>
      </c>
      <c r="F94" s="1">
        <v>2</v>
      </c>
      <c r="G94" s="1">
        <v>2</v>
      </c>
      <c r="H94" s="1">
        <v>1</v>
      </c>
      <c r="I94" s="1">
        <v>1</v>
      </c>
      <c r="J94" s="1" t="s">
        <v>54</v>
      </c>
      <c r="K94" s="1">
        <v>1</v>
      </c>
      <c r="L94" s="1">
        <v>1</v>
      </c>
    </row>
    <row r="95" spans="1:12" x14ac:dyDescent="0.3">
      <c r="A95" s="1" t="s">
        <v>53</v>
      </c>
      <c r="B95" s="1" t="s">
        <v>166</v>
      </c>
      <c r="C95" s="1">
        <v>180</v>
      </c>
      <c r="E95" s="1" t="s">
        <v>54</v>
      </c>
      <c r="F95" s="1">
        <v>1</v>
      </c>
      <c r="G95" s="1">
        <v>1</v>
      </c>
      <c r="H95" s="1">
        <v>0</v>
      </c>
      <c r="I95" s="1">
        <v>1</v>
      </c>
      <c r="J95" s="1" t="s">
        <v>54</v>
      </c>
      <c r="K95" s="1">
        <v>1</v>
      </c>
      <c r="L95" s="1">
        <v>0</v>
      </c>
    </row>
    <row r="96" spans="1:12" x14ac:dyDescent="0.3">
      <c r="A96" s="1" t="s">
        <v>53</v>
      </c>
      <c r="B96" s="1" t="s">
        <v>228</v>
      </c>
      <c r="C96" s="1">
        <v>71</v>
      </c>
      <c r="E96" s="1" t="s">
        <v>246</v>
      </c>
      <c r="F96" s="1">
        <v>2</v>
      </c>
      <c r="G96" s="1">
        <v>2</v>
      </c>
      <c r="H96" s="1">
        <v>1</v>
      </c>
      <c r="I96" s="1">
        <v>1</v>
      </c>
      <c r="J96" s="1" t="s">
        <v>54</v>
      </c>
      <c r="K96" s="1">
        <v>1</v>
      </c>
      <c r="L96" s="1">
        <v>1</v>
      </c>
    </row>
    <row r="97" spans="1:12" x14ac:dyDescent="0.3">
      <c r="A97" s="1" t="s">
        <v>53</v>
      </c>
      <c r="B97" s="1" t="s">
        <v>168</v>
      </c>
      <c r="C97" s="1">
        <v>70</v>
      </c>
      <c r="E97" s="1" t="s">
        <v>279</v>
      </c>
      <c r="F97" s="1">
        <v>3</v>
      </c>
      <c r="G97" s="1">
        <v>3</v>
      </c>
      <c r="H97" s="1">
        <v>2</v>
      </c>
      <c r="I97" s="1">
        <v>1</v>
      </c>
      <c r="J97" s="1" t="s">
        <v>54</v>
      </c>
      <c r="K97" s="1">
        <v>1</v>
      </c>
      <c r="L97" s="1">
        <v>2</v>
      </c>
    </row>
    <row r="98" spans="1:12" x14ac:dyDescent="0.3">
      <c r="A98" s="1" t="s">
        <v>53</v>
      </c>
      <c r="B98" s="1" t="s">
        <v>171</v>
      </c>
      <c r="C98" s="1">
        <v>105</v>
      </c>
      <c r="E98" s="1" t="s">
        <v>246</v>
      </c>
      <c r="F98" s="1">
        <v>2</v>
      </c>
      <c r="G98" s="1">
        <v>2</v>
      </c>
      <c r="H98" s="1">
        <v>1</v>
      </c>
      <c r="I98" s="1">
        <v>1</v>
      </c>
      <c r="J98" s="1" t="s">
        <v>54</v>
      </c>
      <c r="K98" s="1">
        <v>1</v>
      </c>
      <c r="L98" s="1">
        <v>1</v>
      </c>
    </row>
    <row r="99" spans="1:12" x14ac:dyDescent="0.3">
      <c r="A99" s="1" t="s">
        <v>53</v>
      </c>
      <c r="B99" s="1" t="s">
        <v>174</v>
      </c>
      <c r="C99" s="1">
        <v>15</v>
      </c>
      <c r="D99" s="1">
        <v>15</v>
      </c>
      <c r="E99" s="1" t="s">
        <v>295</v>
      </c>
      <c r="F99" s="1">
        <v>4</v>
      </c>
      <c r="G99" s="1">
        <v>4</v>
      </c>
      <c r="H99" s="1">
        <v>3</v>
      </c>
      <c r="I99" s="1">
        <v>1</v>
      </c>
      <c r="J99" s="1" t="s">
        <v>295</v>
      </c>
      <c r="K99" s="1">
        <v>4</v>
      </c>
      <c r="L99" s="1">
        <v>0</v>
      </c>
    </row>
    <row r="100" spans="1:12" x14ac:dyDescent="0.3">
      <c r="A100" s="1" t="s">
        <v>53</v>
      </c>
      <c r="B100" s="1" t="s">
        <v>175</v>
      </c>
      <c r="C100" s="1">
        <v>46</v>
      </c>
      <c r="E100" s="1" t="s">
        <v>54</v>
      </c>
      <c r="F100" s="1">
        <v>1</v>
      </c>
      <c r="G100" s="1">
        <v>1</v>
      </c>
      <c r="H100" s="1">
        <v>0</v>
      </c>
      <c r="I100" s="1">
        <v>1</v>
      </c>
      <c r="J100" s="1" t="s">
        <v>246</v>
      </c>
      <c r="K100" s="1">
        <v>2</v>
      </c>
      <c r="L100" s="1">
        <v>-1</v>
      </c>
    </row>
    <row r="101" spans="1:12" x14ac:dyDescent="0.3">
      <c r="A101" s="1" t="s">
        <v>53</v>
      </c>
      <c r="B101" s="1" t="s">
        <v>178</v>
      </c>
      <c r="C101" s="1">
        <v>62</v>
      </c>
      <c r="E101" s="1" t="s">
        <v>54</v>
      </c>
      <c r="F101" s="1">
        <v>1</v>
      </c>
      <c r="G101" s="1">
        <v>1</v>
      </c>
      <c r="H101" s="1">
        <v>0</v>
      </c>
      <c r="I101" s="1">
        <v>1</v>
      </c>
      <c r="J101" s="1" t="s">
        <v>246</v>
      </c>
      <c r="K101" s="1">
        <v>2</v>
      </c>
      <c r="L101" s="1">
        <v>-1</v>
      </c>
    </row>
    <row r="102" spans="1:12" x14ac:dyDescent="0.3">
      <c r="A102" s="1" t="s">
        <v>53</v>
      </c>
      <c r="B102" s="1" t="s">
        <v>180</v>
      </c>
      <c r="C102" s="1">
        <v>67</v>
      </c>
      <c r="E102" s="1" t="s">
        <v>279</v>
      </c>
      <c r="F102" s="1">
        <v>3</v>
      </c>
      <c r="G102" s="1">
        <v>3</v>
      </c>
      <c r="H102" s="1">
        <v>2</v>
      </c>
      <c r="I102" s="1">
        <v>1</v>
      </c>
      <c r="J102" s="1" t="s">
        <v>54</v>
      </c>
      <c r="K102" s="1">
        <v>1</v>
      </c>
      <c r="L102" s="1">
        <v>2</v>
      </c>
    </row>
    <row r="103" spans="1:12" x14ac:dyDescent="0.3">
      <c r="A103" s="1" t="s">
        <v>53</v>
      </c>
      <c r="B103" s="1" t="s">
        <v>183</v>
      </c>
      <c r="C103" s="1">
        <v>22</v>
      </c>
      <c r="D103" s="1">
        <v>22</v>
      </c>
      <c r="E103" s="1" t="s">
        <v>246</v>
      </c>
      <c r="F103" s="1">
        <v>2</v>
      </c>
      <c r="G103" s="1">
        <v>2</v>
      </c>
      <c r="H103" s="1">
        <v>1</v>
      </c>
      <c r="I103" s="1">
        <v>1</v>
      </c>
      <c r="J103" s="1" t="s">
        <v>279</v>
      </c>
      <c r="K103" s="1">
        <v>3</v>
      </c>
      <c r="L103" s="1">
        <v>-1</v>
      </c>
    </row>
    <row r="104" spans="1:12" x14ac:dyDescent="0.3">
      <c r="A104" s="1" t="s">
        <v>53</v>
      </c>
      <c r="B104" s="1" t="s">
        <v>184</v>
      </c>
      <c r="C104" s="1">
        <v>145</v>
      </c>
      <c r="E104" s="1" t="s">
        <v>54</v>
      </c>
      <c r="F104" s="1">
        <v>1</v>
      </c>
      <c r="G104" s="1">
        <v>1</v>
      </c>
      <c r="H104" s="1">
        <v>0</v>
      </c>
      <c r="I104" s="1">
        <v>1</v>
      </c>
      <c r="J104" s="1" t="s">
        <v>54</v>
      </c>
      <c r="K104" s="1">
        <v>1</v>
      </c>
      <c r="L104" s="1">
        <v>0</v>
      </c>
    </row>
    <row r="105" spans="1:12" x14ac:dyDescent="0.3">
      <c r="A105" s="1" t="s">
        <v>53</v>
      </c>
      <c r="B105" s="1" t="s">
        <v>240</v>
      </c>
      <c r="C105" s="1">
        <v>43</v>
      </c>
      <c r="E105" s="1" t="s">
        <v>246</v>
      </c>
      <c r="F105" s="1">
        <v>2</v>
      </c>
      <c r="G105" s="1">
        <v>2</v>
      </c>
      <c r="H105" s="1">
        <v>1</v>
      </c>
      <c r="I105" s="1">
        <v>1</v>
      </c>
      <c r="J105" s="1" t="s">
        <v>246</v>
      </c>
      <c r="K105" s="1">
        <v>2</v>
      </c>
      <c r="L105" s="1">
        <v>0</v>
      </c>
    </row>
    <row r="106" spans="1:12" x14ac:dyDescent="0.3">
      <c r="A106" s="1" t="s">
        <v>53</v>
      </c>
      <c r="B106" s="1" t="s">
        <v>187</v>
      </c>
      <c r="C106" s="1">
        <v>123</v>
      </c>
      <c r="E106" s="1" t="s">
        <v>54</v>
      </c>
      <c r="F106" s="1">
        <v>1</v>
      </c>
      <c r="G106" s="1">
        <v>1</v>
      </c>
      <c r="H106" s="1">
        <v>0</v>
      </c>
      <c r="I106" s="1">
        <v>1</v>
      </c>
      <c r="J106" s="1" t="s">
        <v>54</v>
      </c>
      <c r="K106" s="1">
        <v>1</v>
      </c>
      <c r="L106" s="1">
        <v>0</v>
      </c>
    </row>
    <row r="107" spans="1:12" x14ac:dyDescent="0.3">
      <c r="A107" s="1" t="s">
        <v>53</v>
      </c>
      <c r="B107" s="1" t="s">
        <v>189</v>
      </c>
      <c r="C107" s="1">
        <v>36</v>
      </c>
      <c r="E107" s="1" t="s">
        <v>279</v>
      </c>
      <c r="F107" s="1">
        <v>3</v>
      </c>
      <c r="G107" s="1">
        <v>3</v>
      </c>
      <c r="H107" s="1">
        <v>2</v>
      </c>
      <c r="I107" s="1">
        <v>1</v>
      </c>
      <c r="J107" s="1" t="s">
        <v>246</v>
      </c>
      <c r="K107" s="1">
        <v>2</v>
      </c>
      <c r="L107" s="1">
        <v>1</v>
      </c>
    </row>
    <row r="108" spans="1:12" x14ac:dyDescent="0.3">
      <c r="A108" s="1" t="s">
        <v>53</v>
      </c>
      <c r="B108" s="1" t="s">
        <v>190</v>
      </c>
      <c r="C108" s="1">
        <v>56</v>
      </c>
      <c r="E108" s="1" t="s">
        <v>54</v>
      </c>
      <c r="F108" s="1">
        <v>1</v>
      </c>
      <c r="G108" s="1">
        <v>1</v>
      </c>
      <c r="H108" s="1">
        <v>0</v>
      </c>
      <c r="I108" s="1">
        <v>1</v>
      </c>
      <c r="J108" s="1" t="s">
        <v>246</v>
      </c>
      <c r="K108" s="1">
        <v>2</v>
      </c>
      <c r="L108" s="1">
        <v>-1</v>
      </c>
    </row>
    <row r="109" spans="1:12" x14ac:dyDescent="0.3">
      <c r="A109" s="1" t="s">
        <v>53</v>
      </c>
      <c r="B109" s="1" t="s">
        <v>193</v>
      </c>
      <c r="C109" s="1">
        <v>230</v>
      </c>
      <c r="E109" s="1" t="s">
        <v>54</v>
      </c>
      <c r="F109" s="1">
        <v>1</v>
      </c>
      <c r="G109" s="1">
        <v>1</v>
      </c>
      <c r="H109" s="1">
        <v>0</v>
      </c>
      <c r="I109" s="1">
        <v>1</v>
      </c>
      <c r="J109" s="1" t="s">
        <v>54</v>
      </c>
      <c r="K109" s="1">
        <v>1</v>
      </c>
      <c r="L109" s="1">
        <v>0</v>
      </c>
    </row>
    <row r="110" spans="1:12" x14ac:dyDescent="0.3">
      <c r="A110" s="1" t="s">
        <v>53</v>
      </c>
      <c r="B110" s="1" t="s">
        <v>195</v>
      </c>
      <c r="C110" s="1">
        <v>3</v>
      </c>
      <c r="D110" s="1">
        <v>3</v>
      </c>
      <c r="E110" s="1" t="s">
        <v>318</v>
      </c>
      <c r="F110" s="1">
        <v>5</v>
      </c>
      <c r="G110" s="1">
        <v>5</v>
      </c>
      <c r="H110" s="1">
        <v>4</v>
      </c>
      <c r="I110" s="1">
        <v>1</v>
      </c>
      <c r="J110" s="1" t="s">
        <v>326</v>
      </c>
      <c r="K110" s="1">
        <v>6</v>
      </c>
      <c r="L110" s="1">
        <v>-1</v>
      </c>
    </row>
    <row r="111" spans="1:12" x14ac:dyDescent="0.3">
      <c r="A111" s="1" t="s">
        <v>53</v>
      </c>
      <c r="B111" s="1" t="s">
        <v>196</v>
      </c>
      <c r="C111" s="1">
        <v>72</v>
      </c>
      <c r="E111" s="1" t="s">
        <v>54</v>
      </c>
      <c r="F111" s="1">
        <v>1</v>
      </c>
      <c r="G111" s="1">
        <v>1</v>
      </c>
      <c r="H111" s="1">
        <v>0</v>
      </c>
      <c r="I111" s="1">
        <v>1</v>
      </c>
      <c r="J111" s="1" t="s">
        <v>54</v>
      </c>
      <c r="K111" s="1">
        <v>1</v>
      </c>
      <c r="L111" s="1">
        <v>0</v>
      </c>
    </row>
    <row r="112" spans="1:12" x14ac:dyDescent="0.3">
      <c r="A112" s="1" t="s">
        <v>53</v>
      </c>
      <c r="B112" s="1" t="s">
        <v>219</v>
      </c>
      <c r="C112" s="1">
        <v>12</v>
      </c>
      <c r="D112" s="1">
        <v>12</v>
      </c>
      <c r="E112" s="1" t="s">
        <v>318</v>
      </c>
      <c r="F112" s="1">
        <v>5</v>
      </c>
      <c r="G112" s="1">
        <v>5</v>
      </c>
      <c r="H112" s="1">
        <v>4</v>
      </c>
      <c r="I112" s="1">
        <v>1</v>
      </c>
      <c r="J112" s="1" t="s">
        <v>295</v>
      </c>
      <c r="K112" s="1">
        <v>4</v>
      </c>
      <c r="L112" s="1">
        <v>1</v>
      </c>
    </row>
    <row r="113" spans="1:12" x14ac:dyDescent="0.3">
      <c r="A113" s="1" t="s">
        <v>53</v>
      </c>
      <c r="B113" s="1" t="s">
        <v>198</v>
      </c>
      <c r="C113" s="1">
        <v>6</v>
      </c>
      <c r="D113" s="1">
        <v>6</v>
      </c>
      <c r="E113" s="1" t="s">
        <v>246</v>
      </c>
      <c r="F113" s="1">
        <v>2</v>
      </c>
      <c r="G113" s="1">
        <v>2</v>
      </c>
      <c r="H113" s="1">
        <v>1</v>
      </c>
      <c r="I113" s="1">
        <v>1</v>
      </c>
      <c r="J113" s="1" t="s">
        <v>325</v>
      </c>
      <c r="K113" s="1">
        <v>5</v>
      </c>
      <c r="L113" s="1">
        <v>-3</v>
      </c>
    </row>
    <row r="114" spans="1:12" x14ac:dyDescent="0.3">
      <c r="A114" s="1" t="s">
        <v>53</v>
      </c>
      <c r="B114" s="1" t="s">
        <v>199</v>
      </c>
      <c r="C114" s="1">
        <v>61</v>
      </c>
      <c r="E114" s="1" t="s">
        <v>54</v>
      </c>
      <c r="F114" s="1">
        <v>1</v>
      </c>
      <c r="G114" s="1">
        <v>1</v>
      </c>
      <c r="H114" s="1">
        <v>0</v>
      </c>
      <c r="I114" s="1">
        <v>1</v>
      </c>
      <c r="J114" s="1" t="s">
        <v>246</v>
      </c>
      <c r="K114" s="1">
        <v>2</v>
      </c>
      <c r="L114" s="1">
        <v>-1</v>
      </c>
    </row>
    <row r="115" spans="1:12" x14ac:dyDescent="0.3">
      <c r="A115" s="1" t="s">
        <v>53</v>
      </c>
      <c r="B115" s="1" t="s">
        <v>201</v>
      </c>
      <c r="C115" s="1">
        <v>49</v>
      </c>
      <c r="E115" s="1" t="s">
        <v>279</v>
      </c>
      <c r="F115" s="1">
        <v>3</v>
      </c>
      <c r="G115" s="1">
        <v>3</v>
      </c>
      <c r="H115" s="1">
        <v>2</v>
      </c>
      <c r="I115" s="1">
        <v>1</v>
      </c>
      <c r="J115" s="1" t="s">
        <v>246</v>
      </c>
      <c r="K115" s="1">
        <v>2</v>
      </c>
      <c r="L115" s="1">
        <v>1</v>
      </c>
    </row>
    <row r="116" spans="1:12" x14ac:dyDescent="0.3">
      <c r="A116" s="1" t="s">
        <v>53</v>
      </c>
      <c r="B116" s="1" t="s">
        <v>211</v>
      </c>
      <c r="C116" s="1">
        <v>23</v>
      </c>
      <c r="D116" s="1">
        <v>23</v>
      </c>
      <c r="E116" s="1" t="s">
        <v>54</v>
      </c>
      <c r="F116" s="1">
        <v>1</v>
      </c>
      <c r="G116" s="1">
        <v>1</v>
      </c>
      <c r="H116" s="1">
        <v>0</v>
      </c>
      <c r="I116" s="1">
        <v>1</v>
      </c>
      <c r="J116" s="1" t="s">
        <v>279</v>
      </c>
      <c r="K116" s="1">
        <v>3</v>
      </c>
      <c r="L116" s="1">
        <v>-2</v>
      </c>
    </row>
    <row r="117" spans="1:12" x14ac:dyDescent="0.3">
      <c r="A117" s="1" t="s">
        <v>53</v>
      </c>
      <c r="B117" s="1" t="s">
        <v>204</v>
      </c>
      <c r="C117" s="1">
        <v>68</v>
      </c>
      <c r="E117" s="1" t="s">
        <v>295</v>
      </c>
      <c r="F117" s="1">
        <v>4</v>
      </c>
      <c r="G117" s="1">
        <v>4</v>
      </c>
      <c r="H117" s="1">
        <v>3</v>
      </c>
      <c r="I117" s="1">
        <v>1</v>
      </c>
      <c r="J117" s="1" t="s">
        <v>54</v>
      </c>
      <c r="K117" s="1">
        <v>1</v>
      </c>
      <c r="L117" s="1">
        <v>3</v>
      </c>
    </row>
    <row r="118" spans="1:12" x14ac:dyDescent="0.3">
      <c r="A118" s="1" t="s">
        <v>53</v>
      </c>
      <c r="B118" s="1" t="s">
        <v>205</v>
      </c>
      <c r="C118" s="1">
        <v>50</v>
      </c>
      <c r="E118" s="1" t="s">
        <v>54</v>
      </c>
      <c r="F118" s="1">
        <v>1</v>
      </c>
      <c r="G118" s="1">
        <v>1</v>
      </c>
      <c r="H118" s="1">
        <v>0</v>
      </c>
      <c r="I118" s="1">
        <v>1</v>
      </c>
      <c r="J118" s="1" t="s">
        <v>246</v>
      </c>
      <c r="K118" s="1">
        <v>2</v>
      </c>
      <c r="L118" s="1">
        <v>-1</v>
      </c>
    </row>
    <row r="119" spans="1:12" x14ac:dyDescent="0.3">
      <c r="A119" s="1" t="s">
        <v>53</v>
      </c>
      <c r="B119" s="1" t="s">
        <v>207</v>
      </c>
      <c r="C119" s="1">
        <v>29</v>
      </c>
      <c r="D119" s="1">
        <v>29</v>
      </c>
      <c r="E119" s="1" t="s">
        <v>246</v>
      </c>
      <c r="F119" s="1">
        <v>2</v>
      </c>
      <c r="G119" s="1">
        <v>2</v>
      </c>
      <c r="H119" s="1">
        <v>1</v>
      </c>
      <c r="I119" s="1">
        <v>1</v>
      </c>
      <c r="J119" s="1" t="s">
        <v>279</v>
      </c>
      <c r="K119" s="1">
        <v>3</v>
      </c>
      <c r="L119" s="1">
        <v>-1</v>
      </c>
    </row>
    <row r="120" spans="1:12" x14ac:dyDescent="0.3">
      <c r="A120" s="1" t="s">
        <v>53</v>
      </c>
      <c r="B120" s="1" t="s">
        <v>214</v>
      </c>
      <c r="C120" s="1">
        <v>298</v>
      </c>
      <c r="E120" s="1" t="s">
        <v>54</v>
      </c>
      <c r="F120" s="1">
        <v>1</v>
      </c>
      <c r="G120" s="1">
        <v>1</v>
      </c>
      <c r="H120" s="1">
        <v>0</v>
      </c>
      <c r="I120" s="1">
        <v>1</v>
      </c>
      <c r="J120" s="1" t="s">
        <v>54</v>
      </c>
      <c r="K120" s="1">
        <v>1</v>
      </c>
      <c r="L120" s="1">
        <v>0</v>
      </c>
    </row>
    <row r="121" spans="1:12" x14ac:dyDescent="0.3">
      <c r="A121" s="1" t="s">
        <v>53</v>
      </c>
      <c r="B121" s="1" t="s">
        <v>222</v>
      </c>
      <c r="C121" s="1">
        <v>14</v>
      </c>
      <c r="D121" s="1">
        <v>14</v>
      </c>
      <c r="E121" s="1" t="s">
        <v>295</v>
      </c>
      <c r="F121" s="1">
        <v>4</v>
      </c>
      <c r="G121" s="1">
        <v>4</v>
      </c>
      <c r="H121" s="1">
        <v>3</v>
      </c>
      <c r="I121" s="1">
        <v>1</v>
      </c>
      <c r="J121" s="1" t="s">
        <v>295</v>
      </c>
      <c r="K121" s="1">
        <v>4</v>
      </c>
      <c r="L121" s="1">
        <v>0</v>
      </c>
    </row>
    <row r="122" spans="1:12" x14ac:dyDescent="0.3">
      <c r="A122" s="1" t="s">
        <v>53</v>
      </c>
      <c r="B122" s="1" t="s">
        <v>223</v>
      </c>
      <c r="C122" s="1">
        <v>146</v>
      </c>
      <c r="E122" s="1" t="s">
        <v>54</v>
      </c>
      <c r="F122" s="1">
        <v>1</v>
      </c>
      <c r="G122" s="1">
        <v>1</v>
      </c>
      <c r="H122" s="1">
        <v>0</v>
      </c>
      <c r="I122" s="1">
        <v>1</v>
      </c>
      <c r="J122" s="1" t="s">
        <v>54</v>
      </c>
      <c r="K122" s="1">
        <v>1</v>
      </c>
      <c r="L122" s="1">
        <v>0</v>
      </c>
    </row>
    <row r="123" spans="1:12" x14ac:dyDescent="0.3">
      <c r="A123" s="1" t="s">
        <v>53</v>
      </c>
      <c r="B123" s="1" t="s">
        <v>225</v>
      </c>
      <c r="C123" s="1">
        <v>219</v>
      </c>
      <c r="E123" s="1" t="s">
        <v>246</v>
      </c>
      <c r="F123" s="1">
        <v>2</v>
      </c>
      <c r="G123" s="1">
        <v>2</v>
      </c>
      <c r="H123" s="1">
        <v>1</v>
      </c>
      <c r="I123" s="1">
        <v>1</v>
      </c>
      <c r="J123" s="1" t="s">
        <v>54</v>
      </c>
      <c r="K123" s="1">
        <v>1</v>
      </c>
      <c r="L123" s="1">
        <v>1</v>
      </c>
    </row>
    <row r="124" spans="1:12" x14ac:dyDescent="0.3">
      <c r="A124" s="1" t="s">
        <v>53</v>
      </c>
      <c r="B124" s="1" t="s">
        <v>226</v>
      </c>
      <c r="C124" s="1">
        <v>65</v>
      </c>
      <c r="E124" s="1" t="s">
        <v>54</v>
      </c>
      <c r="F124" s="1">
        <v>1</v>
      </c>
      <c r="G124" s="1">
        <v>1</v>
      </c>
      <c r="H124" s="1">
        <v>0</v>
      </c>
      <c r="I124" s="1">
        <v>1</v>
      </c>
      <c r="J124" s="1" t="s">
        <v>54</v>
      </c>
      <c r="K124" s="1">
        <v>1</v>
      </c>
      <c r="L124" s="1">
        <v>0</v>
      </c>
    </row>
    <row r="125" spans="1:12" x14ac:dyDescent="0.3">
      <c r="A125" s="1" t="s">
        <v>53</v>
      </c>
      <c r="B125" s="1" t="s">
        <v>229</v>
      </c>
      <c r="C125" s="1">
        <v>91</v>
      </c>
      <c r="E125" s="1" t="s">
        <v>54</v>
      </c>
      <c r="F125" s="1">
        <v>1</v>
      </c>
      <c r="G125" s="1">
        <v>1</v>
      </c>
      <c r="H125" s="1">
        <v>0</v>
      </c>
      <c r="I125" s="1">
        <v>1</v>
      </c>
      <c r="J125" s="1" t="s">
        <v>54</v>
      </c>
      <c r="K125" s="1">
        <v>1</v>
      </c>
      <c r="L125" s="1">
        <v>0</v>
      </c>
    </row>
    <row r="126" spans="1:12" x14ac:dyDescent="0.3">
      <c r="A126" s="1" t="s">
        <v>53</v>
      </c>
      <c r="B126" s="1" t="s">
        <v>231</v>
      </c>
      <c r="C126" s="1">
        <v>20</v>
      </c>
      <c r="D126" s="1">
        <v>20</v>
      </c>
      <c r="E126" s="1" t="s">
        <v>279</v>
      </c>
      <c r="F126" s="1">
        <v>3</v>
      </c>
      <c r="G126" s="1">
        <v>3</v>
      </c>
      <c r="H126" s="1">
        <v>2</v>
      </c>
      <c r="I126" s="1">
        <v>1</v>
      </c>
      <c r="J126" s="1" t="s">
        <v>279</v>
      </c>
      <c r="K126" s="1">
        <v>3</v>
      </c>
      <c r="L126" s="1">
        <v>0</v>
      </c>
    </row>
    <row r="127" spans="1:12" x14ac:dyDescent="0.3">
      <c r="A127" s="1" t="s">
        <v>53</v>
      </c>
      <c r="B127" s="1" t="s">
        <v>235</v>
      </c>
      <c r="C127" s="1">
        <v>28</v>
      </c>
      <c r="D127" s="1">
        <v>28</v>
      </c>
      <c r="E127" s="1" t="s">
        <v>54</v>
      </c>
      <c r="F127" s="1">
        <v>1</v>
      </c>
      <c r="G127" s="1">
        <v>1</v>
      </c>
      <c r="H127" s="1">
        <v>0</v>
      </c>
      <c r="I127" s="1">
        <v>1</v>
      </c>
      <c r="J127" s="1" t="s">
        <v>279</v>
      </c>
      <c r="K127" s="1">
        <v>3</v>
      </c>
      <c r="L127" s="1">
        <v>-2</v>
      </c>
    </row>
    <row r="128" spans="1:12" x14ac:dyDescent="0.3">
      <c r="A128" s="1" t="s">
        <v>53</v>
      </c>
      <c r="B128" s="1" t="s">
        <v>232</v>
      </c>
      <c r="C128" s="1">
        <v>92</v>
      </c>
      <c r="E128" s="1" t="s">
        <v>54</v>
      </c>
      <c r="F128" s="1">
        <v>1</v>
      </c>
      <c r="G128" s="1">
        <v>1</v>
      </c>
      <c r="H128" s="1">
        <v>0</v>
      </c>
      <c r="I128" s="1">
        <v>1</v>
      </c>
      <c r="J128" s="1" t="s">
        <v>54</v>
      </c>
      <c r="K128" s="1">
        <v>1</v>
      </c>
      <c r="L128" s="1">
        <v>0</v>
      </c>
    </row>
    <row r="129" spans="1:12" x14ac:dyDescent="0.3">
      <c r="A129" s="1" t="s">
        <v>53</v>
      </c>
      <c r="B129" s="1" t="s">
        <v>234</v>
      </c>
      <c r="C129" s="1">
        <v>80</v>
      </c>
      <c r="E129" s="1" t="s">
        <v>246</v>
      </c>
      <c r="F129" s="1">
        <v>2</v>
      </c>
      <c r="G129" s="1">
        <v>2</v>
      </c>
      <c r="H129" s="1">
        <v>1</v>
      </c>
      <c r="I129" s="1">
        <v>1</v>
      </c>
      <c r="J129" s="1" t="s">
        <v>54</v>
      </c>
      <c r="K129" s="1">
        <v>1</v>
      </c>
      <c r="L129" s="1">
        <v>1</v>
      </c>
    </row>
    <row r="130" spans="1:12" x14ac:dyDescent="0.3">
      <c r="A130" s="1" t="s">
        <v>53</v>
      </c>
      <c r="B130" s="1" t="s">
        <v>237</v>
      </c>
      <c r="C130" s="1">
        <v>86</v>
      </c>
      <c r="E130" s="1" t="s">
        <v>279</v>
      </c>
      <c r="F130" s="1">
        <v>3</v>
      </c>
      <c r="G130" s="1">
        <v>3</v>
      </c>
      <c r="H130" s="1">
        <v>2</v>
      </c>
      <c r="I130" s="1">
        <v>1</v>
      </c>
      <c r="J130" s="1" t="s">
        <v>54</v>
      </c>
      <c r="K130" s="1">
        <v>1</v>
      </c>
      <c r="L130" s="1">
        <v>2</v>
      </c>
    </row>
    <row r="131" spans="1:12" x14ac:dyDescent="0.3">
      <c r="A131" s="1" t="s">
        <v>53</v>
      </c>
      <c r="B131" s="1" t="s">
        <v>238</v>
      </c>
      <c r="C131" s="1" t="s">
        <v>397</v>
      </c>
      <c r="E131" s="1" t="s">
        <v>54</v>
      </c>
      <c r="F131" s="1">
        <v>1</v>
      </c>
      <c r="G131" s="1">
        <v>1</v>
      </c>
      <c r="H131" s="1">
        <v>0</v>
      </c>
      <c r="I131" s="1">
        <v>1</v>
      </c>
    </row>
    <row r="132" spans="1:12" x14ac:dyDescent="0.3">
      <c r="A132" s="1" t="s">
        <v>53</v>
      </c>
      <c r="B132" s="1" t="s">
        <v>241</v>
      </c>
      <c r="C132" s="1">
        <v>44</v>
      </c>
      <c r="E132" s="1" t="s">
        <v>54</v>
      </c>
      <c r="F132" s="1">
        <v>1</v>
      </c>
      <c r="G132" s="1">
        <v>1</v>
      </c>
      <c r="H132" s="1">
        <v>0</v>
      </c>
      <c r="I132" s="1">
        <v>1</v>
      </c>
      <c r="J132" s="1" t="s">
        <v>246</v>
      </c>
      <c r="K132" s="1">
        <v>2</v>
      </c>
      <c r="L132" s="1">
        <v>-1</v>
      </c>
    </row>
    <row r="133" spans="1:12" x14ac:dyDescent="0.3">
      <c r="A133" s="9" t="s">
        <v>26</v>
      </c>
      <c r="B133" s="10" t="s">
        <v>243</v>
      </c>
      <c r="C133" s="10">
        <v>3</v>
      </c>
      <c r="D133" s="10">
        <v>3</v>
      </c>
      <c r="E133" s="10" t="s">
        <v>325</v>
      </c>
      <c r="F133" s="10">
        <v>5</v>
      </c>
      <c r="G133" s="10">
        <v>5</v>
      </c>
      <c r="H133" s="10">
        <v>5</v>
      </c>
      <c r="I133" s="10">
        <v>5</v>
      </c>
      <c r="J133" s="10" t="s">
        <v>326</v>
      </c>
      <c r="K133" s="10">
        <v>6</v>
      </c>
      <c r="L133" s="11">
        <v>-1</v>
      </c>
    </row>
    <row r="134" spans="1:12" x14ac:dyDescent="0.3">
      <c r="A134" s="12" t="s">
        <v>26</v>
      </c>
      <c r="B134" s="13" t="s">
        <v>195</v>
      </c>
      <c r="C134" s="13">
        <v>2</v>
      </c>
      <c r="D134" s="13">
        <v>2</v>
      </c>
      <c r="E134" s="13" t="s">
        <v>328</v>
      </c>
      <c r="F134" s="13">
        <v>8</v>
      </c>
      <c r="G134" s="13">
        <v>7</v>
      </c>
      <c r="H134" s="13">
        <v>7</v>
      </c>
      <c r="I134" s="13">
        <v>7</v>
      </c>
      <c r="J134" s="13" t="s">
        <v>324</v>
      </c>
      <c r="K134" s="13">
        <v>7</v>
      </c>
      <c r="L134" s="14">
        <v>1</v>
      </c>
    </row>
    <row r="135" spans="1:12" x14ac:dyDescent="0.3">
      <c r="A135" s="9" t="s">
        <v>26</v>
      </c>
      <c r="B135" s="10" t="s">
        <v>55</v>
      </c>
      <c r="C135" s="10">
        <v>1</v>
      </c>
      <c r="D135" s="10">
        <v>1</v>
      </c>
      <c r="E135" s="10" t="s">
        <v>317</v>
      </c>
      <c r="F135" s="10">
        <v>7</v>
      </c>
      <c r="G135" s="10">
        <v>7</v>
      </c>
      <c r="H135" s="10">
        <v>7</v>
      </c>
      <c r="I135" s="10">
        <v>7</v>
      </c>
      <c r="J135" s="10" t="s">
        <v>324</v>
      </c>
      <c r="K135" s="10">
        <v>7</v>
      </c>
      <c r="L135" s="11">
        <v>0</v>
      </c>
    </row>
    <row r="136" spans="1:12" x14ac:dyDescent="0.3">
      <c r="A136" s="12" t="s">
        <v>26</v>
      </c>
      <c r="B136" s="13" t="s">
        <v>150</v>
      </c>
      <c r="C136" s="13">
        <v>6</v>
      </c>
      <c r="D136" s="13">
        <v>6</v>
      </c>
      <c r="E136" s="13" t="s">
        <v>326</v>
      </c>
      <c r="F136" s="13">
        <v>6</v>
      </c>
      <c r="G136" s="13">
        <v>6</v>
      </c>
      <c r="H136" s="13">
        <v>6</v>
      </c>
      <c r="I136" s="13">
        <v>6</v>
      </c>
      <c r="J136" s="13" t="s">
        <v>325</v>
      </c>
      <c r="K136" s="13">
        <v>5</v>
      </c>
      <c r="L136" s="14">
        <v>1</v>
      </c>
    </row>
    <row r="137" spans="1:12" x14ac:dyDescent="0.3">
      <c r="A137" s="9" t="s">
        <v>26</v>
      </c>
      <c r="B137" s="10" t="s">
        <v>124</v>
      </c>
      <c r="C137" s="10">
        <v>8</v>
      </c>
      <c r="D137" s="10">
        <v>8</v>
      </c>
      <c r="E137" s="10" t="s">
        <v>326</v>
      </c>
      <c r="F137" s="10">
        <v>6</v>
      </c>
      <c r="G137" s="10">
        <v>6</v>
      </c>
      <c r="H137" s="10">
        <v>6</v>
      </c>
      <c r="I137" s="10">
        <v>6</v>
      </c>
      <c r="J137" s="10" t="s">
        <v>325</v>
      </c>
      <c r="K137" s="10">
        <v>5</v>
      </c>
      <c r="L137" s="11">
        <v>1</v>
      </c>
    </row>
    <row r="138" spans="1:12" x14ac:dyDescent="0.3">
      <c r="A138" s="12" t="s">
        <v>26</v>
      </c>
      <c r="B138" s="13" t="s">
        <v>92</v>
      </c>
      <c r="C138" s="13">
        <v>51</v>
      </c>
      <c r="D138" s="13"/>
      <c r="E138" s="13" t="s">
        <v>325</v>
      </c>
      <c r="F138" s="13">
        <v>5</v>
      </c>
      <c r="G138" s="13">
        <v>5</v>
      </c>
      <c r="H138" s="13">
        <v>5</v>
      </c>
      <c r="I138" s="13">
        <v>5</v>
      </c>
      <c r="J138" s="13" t="s">
        <v>246</v>
      </c>
      <c r="K138" s="13">
        <v>2</v>
      </c>
      <c r="L138" s="14">
        <v>3</v>
      </c>
    </row>
    <row r="139" spans="1:12" x14ac:dyDescent="0.3">
      <c r="A139" s="9" t="s">
        <v>26</v>
      </c>
      <c r="B139" s="10" t="s">
        <v>131</v>
      </c>
      <c r="C139" s="10">
        <v>139</v>
      </c>
      <c r="D139" s="10"/>
      <c r="E139" s="10" t="s">
        <v>54</v>
      </c>
      <c r="F139" s="10">
        <v>1</v>
      </c>
      <c r="G139" s="10">
        <v>1</v>
      </c>
      <c r="H139" s="10">
        <v>1</v>
      </c>
      <c r="I139" s="10">
        <v>1</v>
      </c>
      <c r="J139" s="10" t="s">
        <v>54</v>
      </c>
      <c r="K139" s="10">
        <v>1</v>
      </c>
      <c r="L139" s="11">
        <v>0</v>
      </c>
    </row>
    <row r="140" spans="1:12" x14ac:dyDescent="0.3">
      <c r="A140" s="12" t="s">
        <v>26</v>
      </c>
      <c r="B140" s="13" t="s">
        <v>219</v>
      </c>
      <c r="C140" s="13">
        <v>12</v>
      </c>
      <c r="D140" s="13">
        <v>12</v>
      </c>
      <c r="E140" s="13" t="s">
        <v>325</v>
      </c>
      <c r="F140" s="13">
        <v>5</v>
      </c>
      <c r="G140" s="13">
        <v>5</v>
      </c>
      <c r="H140" s="13">
        <v>5</v>
      </c>
      <c r="I140" s="13">
        <v>5</v>
      </c>
      <c r="J140" s="13" t="s">
        <v>295</v>
      </c>
      <c r="K140" s="13">
        <v>4</v>
      </c>
      <c r="L140" s="14">
        <v>1</v>
      </c>
    </row>
    <row r="141" spans="1:12" x14ac:dyDescent="0.3">
      <c r="A141" s="9" t="s">
        <v>26</v>
      </c>
      <c r="B141" s="10" t="s">
        <v>329</v>
      </c>
      <c r="C141" s="10">
        <v>166</v>
      </c>
      <c r="D141" s="10"/>
      <c r="E141" s="10" t="s">
        <v>246</v>
      </c>
      <c r="F141" s="10">
        <v>2</v>
      </c>
      <c r="G141" s="10">
        <v>2</v>
      </c>
      <c r="H141" s="10">
        <v>2</v>
      </c>
      <c r="I141" s="10">
        <v>2</v>
      </c>
      <c r="J141" s="10" t="s">
        <v>54</v>
      </c>
      <c r="K141" s="10">
        <v>1</v>
      </c>
      <c r="L141" s="11">
        <v>1</v>
      </c>
    </row>
    <row r="142" spans="1:12" x14ac:dyDescent="0.3">
      <c r="A142" s="12" t="s">
        <v>26</v>
      </c>
      <c r="B142" s="13" t="s">
        <v>136</v>
      </c>
      <c r="C142" s="13">
        <v>15</v>
      </c>
      <c r="D142" s="13">
        <v>15</v>
      </c>
      <c r="E142" s="13" t="s">
        <v>325</v>
      </c>
      <c r="F142" s="13">
        <v>5</v>
      </c>
      <c r="G142" s="13">
        <v>5</v>
      </c>
      <c r="H142" s="13">
        <v>5</v>
      </c>
      <c r="I142" s="13">
        <v>5</v>
      </c>
      <c r="J142" s="13" t="s">
        <v>295</v>
      </c>
      <c r="K142" s="13">
        <v>4</v>
      </c>
      <c r="L142" s="14">
        <v>1</v>
      </c>
    </row>
    <row r="143" spans="1:12" x14ac:dyDescent="0.3">
      <c r="A143" s="9" t="s">
        <v>26</v>
      </c>
      <c r="B143" s="10" t="s">
        <v>128</v>
      </c>
      <c r="C143" s="10">
        <v>17</v>
      </c>
      <c r="D143" s="10">
        <v>17</v>
      </c>
      <c r="E143" s="10" t="s">
        <v>295</v>
      </c>
      <c r="F143" s="10">
        <v>4</v>
      </c>
      <c r="G143" s="10">
        <v>4</v>
      </c>
      <c r="H143" s="10">
        <v>4</v>
      </c>
      <c r="I143" s="10">
        <v>4</v>
      </c>
      <c r="J143" s="10" t="s">
        <v>279</v>
      </c>
      <c r="K143" s="10">
        <v>3</v>
      </c>
      <c r="L143" s="11">
        <v>1</v>
      </c>
    </row>
    <row r="144" spans="1:12" x14ac:dyDescent="0.3">
      <c r="A144" s="12" t="s">
        <v>26</v>
      </c>
      <c r="B144" s="13" t="s">
        <v>112</v>
      </c>
      <c r="C144" s="13">
        <v>42</v>
      </c>
      <c r="D144" s="13"/>
      <c r="E144" s="13" t="s">
        <v>246</v>
      </c>
      <c r="F144" s="13">
        <v>2</v>
      </c>
      <c r="G144" s="13">
        <v>2</v>
      </c>
      <c r="H144" s="13">
        <v>2</v>
      </c>
      <c r="I144" s="13">
        <v>2</v>
      </c>
      <c r="J144" s="13" t="s">
        <v>246</v>
      </c>
      <c r="K144" s="13">
        <v>2</v>
      </c>
      <c r="L144" s="14">
        <v>0</v>
      </c>
    </row>
    <row r="145" spans="1:12" x14ac:dyDescent="0.3">
      <c r="A145" s="9" t="s">
        <v>26</v>
      </c>
      <c r="B145" s="10" t="s">
        <v>115</v>
      </c>
      <c r="C145" s="10">
        <v>13</v>
      </c>
      <c r="D145" s="10">
        <v>13</v>
      </c>
      <c r="E145" s="10" t="s">
        <v>295</v>
      </c>
      <c r="F145" s="10">
        <v>4</v>
      </c>
      <c r="G145" s="10">
        <v>4</v>
      </c>
      <c r="H145" s="10">
        <v>4</v>
      </c>
      <c r="I145" s="10">
        <v>4</v>
      </c>
      <c r="J145" s="10" t="s">
        <v>295</v>
      </c>
      <c r="K145" s="10">
        <v>4</v>
      </c>
      <c r="L145" s="11">
        <v>0</v>
      </c>
    </row>
    <row r="146" spans="1:12" x14ac:dyDescent="0.3">
      <c r="A146" s="12" t="s">
        <v>26</v>
      </c>
      <c r="B146" s="13" t="s">
        <v>68</v>
      </c>
      <c r="C146" s="13">
        <v>34</v>
      </c>
      <c r="D146" s="13"/>
      <c r="E146" s="13" t="s">
        <v>295</v>
      </c>
      <c r="F146" s="13">
        <v>4</v>
      </c>
      <c r="G146" s="13">
        <v>4</v>
      </c>
      <c r="H146" s="13">
        <v>4</v>
      </c>
      <c r="I146" s="13">
        <v>4</v>
      </c>
      <c r="J146" s="13" t="s">
        <v>246</v>
      </c>
      <c r="K146" s="13">
        <v>2</v>
      </c>
      <c r="L146" s="14">
        <v>2</v>
      </c>
    </row>
    <row r="147" spans="1:12" x14ac:dyDescent="0.3">
      <c r="A147" s="9" t="s">
        <v>26</v>
      </c>
      <c r="B147" s="10" t="s">
        <v>174</v>
      </c>
      <c r="C147" s="10">
        <v>5</v>
      </c>
      <c r="D147" s="10">
        <v>5</v>
      </c>
      <c r="E147" s="10" t="s">
        <v>295</v>
      </c>
      <c r="F147" s="10">
        <v>4</v>
      </c>
      <c r="G147" s="10">
        <v>4</v>
      </c>
      <c r="H147" s="10">
        <v>4</v>
      </c>
      <c r="I147" s="10">
        <v>4</v>
      </c>
      <c r="J147" s="10" t="s">
        <v>325</v>
      </c>
      <c r="K147" s="10">
        <v>5</v>
      </c>
      <c r="L147" s="11">
        <v>-1</v>
      </c>
    </row>
    <row r="148" spans="1:12" x14ac:dyDescent="0.3">
      <c r="A148" s="12" t="s">
        <v>26</v>
      </c>
      <c r="B148" s="13" t="s">
        <v>181</v>
      </c>
      <c r="C148" s="13">
        <v>69</v>
      </c>
      <c r="D148" s="13"/>
      <c r="E148" s="13" t="s">
        <v>279</v>
      </c>
      <c r="F148" s="13">
        <v>3</v>
      </c>
      <c r="G148" s="13">
        <v>3</v>
      </c>
      <c r="H148" s="13">
        <v>3</v>
      </c>
      <c r="I148" s="13">
        <v>3</v>
      </c>
      <c r="J148" s="13" t="s">
        <v>54</v>
      </c>
      <c r="K148" s="13">
        <v>1</v>
      </c>
      <c r="L148" s="14">
        <v>2</v>
      </c>
    </row>
    <row r="149" spans="1:12" x14ac:dyDescent="0.3">
      <c r="A149" s="9" t="s">
        <v>26</v>
      </c>
      <c r="B149" s="10" t="s">
        <v>74</v>
      </c>
      <c r="C149" s="10">
        <v>90</v>
      </c>
      <c r="D149" s="10"/>
      <c r="E149" s="10" t="s">
        <v>295</v>
      </c>
      <c r="F149" s="10">
        <v>4</v>
      </c>
      <c r="G149" s="10">
        <v>4</v>
      </c>
      <c r="H149" s="10">
        <v>4</v>
      </c>
      <c r="I149" s="10">
        <v>4</v>
      </c>
      <c r="J149" s="10" t="s">
        <v>54</v>
      </c>
      <c r="K149" s="10">
        <v>1</v>
      </c>
      <c r="L149" s="11">
        <v>3</v>
      </c>
    </row>
    <row r="150" spans="1:12" x14ac:dyDescent="0.3">
      <c r="A150" s="12" t="s">
        <v>26</v>
      </c>
      <c r="B150" s="13" t="s">
        <v>76</v>
      </c>
      <c r="C150" s="13">
        <v>10</v>
      </c>
      <c r="D150" s="13">
        <v>10</v>
      </c>
      <c r="E150" s="13" t="s">
        <v>295</v>
      </c>
      <c r="F150" s="13">
        <v>4</v>
      </c>
      <c r="G150" s="13">
        <v>4</v>
      </c>
      <c r="H150" s="13">
        <v>4</v>
      </c>
      <c r="I150" s="13">
        <v>4</v>
      </c>
      <c r="J150" s="13" t="s">
        <v>295</v>
      </c>
      <c r="K150" s="13">
        <v>4</v>
      </c>
      <c r="L150" s="14">
        <v>0</v>
      </c>
    </row>
    <row r="151" spans="1:12" x14ac:dyDescent="0.3">
      <c r="A151" s="9" t="s">
        <v>26</v>
      </c>
      <c r="B151" s="10" t="s">
        <v>140</v>
      </c>
      <c r="C151" s="10">
        <v>25</v>
      </c>
      <c r="D151" s="10">
        <v>25</v>
      </c>
      <c r="E151" s="10" t="s">
        <v>295</v>
      </c>
      <c r="F151" s="10">
        <v>4</v>
      </c>
      <c r="G151" s="10">
        <v>4</v>
      </c>
      <c r="H151" s="10">
        <v>4</v>
      </c>
      <c r="I151" s="10">
        <v>4</v>
      </c>
      <c r="J151" s="10" t="s">
        <v>279</v>
      </c>
      <c r="K151" s="10">
        <v>3</v>
      </c>
      <c r="L151" s="11">
        <v>1</v>
      </c>
    </row>
    <row r="152" spans="1:12" x14ac:dyDescent="0.3">
      <c r="A152" s="12" t="s">
        <v>26</v>
      </c>
      <c r="B152" s="13" t="s">
        <v>330</v>
      </c>
      <c r="C152" s="13">
        <v>248</v>
      </c>
      <c r="D152" s="13"/>
      <c r="E152" s="13" t="s">
        <v>54</v>
      </c>
      <c r="F152" s="13">
        <v>1</v>
      </c>
      <c r="G152" s="13">
        <v>1</v>
      </c>
      <c r="H152" s="13">
        <v>1</v>
      </c>
      <c r="I152" s="13">
        <v>1</v>
      </c>
      <c r="J152" s="13" t="s">
        <v>54</v>
      </c>
      <c r="K152" s="13">
        <v>1</v>
      </c>
      <c r="L152" s="14">
        <v>0</v>
      </c>
    </row>
    <row r="153" spans="1:12" x14ac:dyDescent="0.3">
      <c r="A153" s="9" t="s">
        <v>26</v>
      </c>
      <c r="B153" s="10" t="s">
        <v>109</v>
      </c>
      <c r="C153" s="10">
        <v>66</v>
      </c>
      <c r="D153" s="10"/>
      <c r="E153" s="10" t="s">
        <v>295</v>
      </c>
      <c r="F153" s="10">
        <v>4</v>
      </c>
      <c r="G153" s="10">
        <v>4</v>
      </c>
      <c r="H153" s="10">
        <v>4</v>
      </c>
      <c r="I153" s="10">
        <v>4</v>
      </c>
      <c r="J153" s="10" t="s">
        <v>54</v>
      </c>
      <c r="K153" s="10">
        <v>1</v>
      </c>
      <c r="L153" s="11">
        <v>3</v>
      </c>
    </row>
    <row r="154" spans="1:12" x14ac:dyDescent="0.3">
      <c r="A154" s="12" t="s">
        <v>26</v>
      </c>
      <c r="B154" s="13" t="s">
        <v>162</v>
      </c>
      <c r="C154" s="13">
        <v>37</v>
      </c>
      <c r="D154" s="13"/>
      <c r="E154" s="13" t="s">
        <v>279</v>
      </c>
      <c r="F154" s="13">
        <v>3</v>
      </c>
      <c r="G154" s="13">
        <v>3</v>
      </c>
      <c r="H154" s="13">
        <v>3</v>
      </c>
      <c r="I154" s="13">
        <v>3</v>
      </c>
      <c r="J154" s="13" t="s">
        <v>246</v>
      </c>
      <c r="K154" s="13">
        <v>2</v>
      </c>
      <c r="L154" s="14">
        <v>1</v>
      </c>
    </row>
    <row r="155" spans="1:12" x14ac:dyDescent="0.3">
      <c r="A155" s="9" t="s">
        <v>26</v>
      </c>
      <c r="B155" s="10" t="s">
        <v>122</v>
      </c>
      <c r="C155" s="10">
        <v>57</v>
      </c>
      <c r="D155" s="10"/>
      <c r="E155" s="10" t="s">
        <v>54</v>
      </c>
      <c r="F155" s="10">
        <v>1</v>
      </c>
      <c r="G155" s="10">
        <v>1</v>
      </c>
      <c r="H155" s="10">
        <v>1</v>
      </c>
      <c r="I155" s="10">
        <v>1</v>
      </c>
      <c r="J155" s="10" t="s">
        <v>246</v>
      </c>
      <c r="K155" s="10">
        <v>2</v>
      </c>
      <c r="L155" s="11">
        <v>-1</v>
      </c>
    </row>
    <row r="156" spans="1:12" x14ac:dyDescent="0.3">
      <c r="A156" s="12" t="s">
        <v>26</v>
      </c>
      <c r="B156" s="13" t="s">
        <v>65</v>
      </c>
      <c r="C156" s="13">
        <v>35</v>
      </c>
      <c r="D156" s="13"/>
      <c r="E156" s="13" t="s">
        <v>279</v>
      </c>
      <c r="F156" s="13">
        <v>3</v>
      </c>
      <c r="G156" s="13">
        <v>3</v>
      </c>
      <c r="H156" s="13">
        <v>3</v>
      </c>
      <c r="I156" s="13">
        <v>3</v>
      </c>
      <c r="J156" s="13" t="s">
        <v>246</v>
      </c>
      <c r="K156" s="13">
        <v>2</v>
      </c>
      <c r="L156" s="14">
        <v>1</v>
      </c>
    </row>
    <row r="157" spans="1:12" x14ac:dyDescent="0.3">
      <c r="A157" s="9" t="s">
        <v>26</v>
      </c>
      <c r="B157" s="10" t="s">
        <v>127</v>
      </c>
      <c r="C157" s="10">
        <v>65</v>
      </c>
      <c r="D157" s="10"/>
      <c r="E157" s="10" t="s">
        <v>279</v>
      </c>
      <c r="F157" s="10">
        <v>3</v>
      </c>
      <c r="G157" s="10">
        <v>3</v>
      </c>
      <c r="H157" s="10">
        <v>3</v>
      </c>
      <c r="I157" s="10">
        <v>3</v>
      </c>
      <c r="J157" s="10" t="s">
        <v>54</v>
      </c>
      <c r="K157" s="10">
        <v>1</v>
      </c>
      <c r="L157" s="11">
        <v>2</v>
      </c>
    </row>
    <row r="158" spans="1:12" x14ac:dyDescent="0.3">
      <c r="A158" s="12" t="s">
        <v>26</v>
      </c>
      <c r="B158" s="13" t="s">
        <v>331</v>
      </c>
      <c r="C158" s="13">
        <v>104</v>
      </c>
      <c r="D158" s="13"/>
      <c r="E158" s="13" t="s">
        <v>54</v>
      </c>
      <c r="F158" s="13">
        <v>1</v>
      </c>
      <c r="G158" s="13">
        <v>1</v>
      </c>
      <c r="H158" s="13">
        <v>1</v>
      </c>
      <c r="I158" s="13">
        <v>1</v>
      </c>
      <c r="J158" s="13" t="s">
        <v>54</v>
      </c>
      <c r="K158" s="13">
        <v>1</v>
      </c>
      <c r="L158" s="14">
        <v>0</v>
      </c>
    </row>
    <row r="159" spans="1:12" x14ac:dyDescent="0.3">
      <c r="A159" s="9" t="s">
        <v>26</v>
      </c>
      <c r="B159" s="10" t="s">
        <v>332</v>
      </c>
      <c r="C159" s="10">
        <v>155</v>
      </c>
      <c r="D159" s="10"/>
      <c r="E159" s="10" t="s">
        <v>279</v>
      </c>
      <c r="F159" s="10">
        <v>3</v>
      </c>
      <c r="G159" s="10">
        <v>3</v>
      </c>
      <c r="H159" s="10">
        <v>3</v>
      </c>
      <c r="I159" s="10">
        <v>3</v>
      </c>
      <c r="J159" s="10" t="s">
        <v>54</v>
      </c>
      <c r="K159" s="10">
        <v>1</v>
      </c>
      <c r="L159" s="11">
        <v>2</v>
      </c>
    </row>
    <row r="160" spans="1:12" x14ac:dyDescent="0.3">
      <c r="A160" s="12" t="s">
        <v>26</v>
      </c>
      <c r="B160" s="13" t="s">
        <v>175</v>
      </c>
      <c r="C160" s="13">
        <v>98</v>
      </c>
      <c r="D160" s="13"/>
      <c r="E160" s="13" t="s">
        <v>279</v>
      </c>
      <c r="F160" s="13">
        <v>3</v>
      </c>
      <c r="G160" s="13">
        <v>3</v>
      </c>
      <c r="H160" s="13">
        <v>3</v>
      </c>
      <c r="I160" s="13">
        <v>3</v>
      </c>
      <c r="J160" s="13" t="s">
        <v>54</v>
      </c>
      <c r="K160" s="13">
        <v>1</v>
      </c>
      <c r="L160" s="14">
        <v>2</v>
      </c>
    </row>
    <row r="161" spans="1:12" x14ac:dyDescent="0.3">
      <c r="A161" s="9" t="s">
        <v>26</v>
      </c>
      <c r="B161" s="10" t="s">
        <v>228</v>
      </c>
      <c r="C161" s="10">
        <v>50</v>
      </c>
      <c r="D161" s="10"/>
      <c r="E161" s="10" t="s">
        <v>279</v>
      </c>
      <c r="F161" s="10">
        <v>3</v>
      </c>
      <c r="G161" s="10">
        <v>3</v>
      </c>
      <c r="H161" s="10">
        <v>3</v>
      </c>
      <c r="I161" s="10">
        <v>3</v>
      </c>
      <c r="J161" s="10" t="s">
        <v>246</v>
      </c>
      <c r="K161" s="10">
        <v>2</v>
      </c>
      <c r="L161" s="11">
        <v>1</v>
      </c>
    </row>
    <row r="162" spans="1:12" x14ac:dyDescent="0.3">
      <c r="A162" s="12" t="s">
        <v>26</v>
      </c>
      <c r="B162" s="13" t="s">
        <v>333</v>
      </c>
      <c r="C162" s="13">
        <v>134</v>
      </c>
      <c r="D162" s="13"/>
      <c r="E162" s="13" t="s">
        <v>246</v>
      </c>
      <c r="F162" s="13">
        <v>2</v>
      </c>
      <c r="G162" s="13">
        <v>2</v>
      </c>
      <c r="H162" s="13">
        <v>2</v>
      </c>
      <c r="I162" s="13">
        <v>2</v>
      </c>
      <c r="J162" s="13" t="s">
        <v>54</v>
      </c>
      <c r="K162" s="13">
        <v>1</v>
      </c>
      <c r="L162" s="14">
        <v>1</v>
      </c>
    </row>
    <row r="163" spans="1:12" x14ac:dyDescent="0.3">
      <c r="A163" s="9" t="s">
        <v>26</v>
      </c>
      <c r="B163" s="10" t="s">
        <v>88</v>
      </c>
      <c r="C163" s="10">
        <v>24</v>
      </c>
      <c r="D163" s="10">
        <v>24</v>
      </c>
      <c r="E163" s="10" t="s">
        <v>279</v>
      </c>
      <c r="F163" s="10">
        <v>3</v>
      </c>
      <c r="G163" s="10">
        <v>3</v>
      </c>
      <c r="H163" s="10">
        <v>3</v>
      </c>
      <c r="I163" s="10">
        <v>3</v>
      </c>
      <c r="J163" s="10" t="s">
        <v>279</v>
      </c>
      <c r="K163" s="10">
        <v>3</v>
      </c>
      <c r="L163" s="11">
        <v>0</v>
      </c>
    </row>
    <row r="164" spans="1:12" x14ac:dyDescent="0.3">
      <c r="A164" s="12" t="s">
        <v>26</v>
      </c>
      <c r="B164" s="13" t="s">
        <v>223</v>
      </c>
      <c r="C164" s="13">
        <v>167</v>
      </c>
      <c r="D164" s="13"/>
      <c r="E164" s="13" t="s">
        <v>279</v>
      </c>
      <c r="F164" s="13">
        <v>3</v>
      </c>
      <c r="G164" s="13">
        <v>3</v>
      </c>
      <c r="H164" s="13">
        <v>3</v>
      </c>
      <c r="I164" s="13">
        <v>3</v>
      </c>
      <c r="J164" s="13" t="s">
        <v>54</v>
      </c>
      <c r="K164" s="13">
        <v>1</v>
      </c>
      <c r="L164" s="14">
        <v>2</v>
      </c>
    </row>
    <row r="165" spans="1:12" x14ac:dyDescent="0.3">
      <c r="A165" s="9" t="s">
        <v>26</v>
      </c>
      <c r="B165" s="10" t="s">
        <v>118</v>
      </c>
      <c r="C165" s="10">
        <v>100</v>
      </c>
      <c r="D165" s="10"/>
      <c r="E165" s="10" t="s">
        <v>246</v>
      </c>
      <c r="F165" s="10">
        <v>2</v>
      </c>
      <c r="G165" s="10">
        <v>2</v>
      </c>
      <c r="H165" s="10">
        <v>2</v>
      </c>
      <c r="I165" s="10">
        <v>2</v>
      </c>
      <c r="J165" s="10" t="s">
        <v>54</v>
      </c>
      <c r="K165" s="10">
        <v>1</v>
      </c>
      <c r="L165" s="11">
        <v>1</v>
      </c>
    </row>
    <row r="166" spans="1:12" x14ac:dyDescent="0.3">
      <c r="A166" s="12" t="s">
        <v>26</v>
      </c>
      <c r="B166" s="13" t="s">
        <v>231</v>
      </c>
      <c r="C166" s="13">
        <v>14</v>
      </c>
      <c r="D166" s="13">
        <v>14</v>
      </c>
      <c r="E166" s="13" t="s">
        <v>279</v>
      </c>
      <c r="F166" s="13">
        <v>3</v>
      </c>
      <c r="G166" s="13">
        <v>3</v>
      </c>
      <c r="H166" s="13">
        <v>3</v>
      </c>
      <c r="I166" s="13">
        <v>3</v>
      </c>
      <c r="J166" s="13" t="s">
        <v>295</v>
      </c>
      <c r="K166" s="13">
        <v>4</v>
      </c>
      <c r="L166" s="14">
        <v>-1</v>
      </c>
    </row>
    <row r="167" spans="1:12" x14ac:dyDescent="0.3">
      <c r="A167" s="9" t="s">
        <v>26</v>
      </c>
      <c r="B167" s="10" t="s">
        <v>183</v>
      </c>
      <c r="C167" s="10">
        <v>23</v>
      </c>
      <c r="D167" s="10">
        <v>23</v>
      </c>
      <c r="E167" s="10" t="s">
        <v>279</v>
      </c>
      <c r="F167" s="10">
        <v>3</v>
      </c>
      <c r="G167" s="10">
        <v>3</v>
      </c>
      <c r="H167" s="10">
        <v>3</v>
      </c>
      <c r="I167" s="10">
        <v>3</v>
      </c>
      <c r="J167" s="10" t="s">
        <v>279</v>
      </c>
      <c r="K167" s="10">
        <v>3</v>
      </c>
      <c r="L167" s="11">
        <v>0</v>
      </c>
    </row>
    <row r="168" spans="1:12" x14ac:dyDescent="0.3">
      <c r="A168" s="12" t="s">
        <v>26</v>
      </c>
      <c r="B168" s="13" t="s">
        <v>189</v>
      </c>
      <c r="C168" s="13">
        <v>41</v>
      </c>
      <c r="D168" s="13"/>
      <c r="E168" s="13" t="s">
        <v>279</v>
      </c>
      <c r="F168" s="13">
        <v>3</v>
      </c>
      <c r="G168" s="13">
        <v>3</v>
      </c>
      <c r="H168" s="13">
        <v>3</v>
      </c>
      <c r="I168" s="13">
        <v>3</v>
      </c>
      <c r="J168" s="13" t="s">
        <v>246</v>
      </c>
      <c r="K168" s="13">
        <v>2</v>
      </c>
      <c r="L168" s="14">
        <v>1</v>
      </c>
    </row>
    <row r="169" spans="1:12" x14ac:dyDescent="0.3">
      <c r="A169" s="9" t="s">
        <v>26</v>
      </c>
      <c r="B169" s="10" t="s">
        <v>208</v>
      </c>
      <c r="C169" s="10">
        <v>86</v>
      </c>
      <c r="D169" s="10"/>
      <c r="E169" s="10" t="s">
        <v>54</v>
      </c>
      <c r="F169" s="10">
        <v>1</v>
      </c>
      <c r="G169" s="10">
        <v>1</v>
      </c>
      <c r="H169" s="10">
        <v>1</v>
      </c>
      <c r="I169" s="10">
        <v>1</v>
      </c>
      <c r="J169" s="10" t="s">
        <v>54</v>
      </c>
      <c r="K169" s="10">
        <v>1</v>
      </c>
      <c r="L169" s="11">
        <v>0</v>
      </c>
    </row>
    <row r="170" spans="1:12" x14ac:dyDescent="0.3">
      <c r="A170" s="12" t="s">
        <v>26</v>
      </c>
      <c r="B170" s="13" t="s">
        <v>334</v>
      </c>
      <c r="C170" s="13">
        <v>77</v>
      </c>
      <c r="D170" s="13"/>
      <c r="E170" s="13" t="s">
        <v>279</v>
      </c>
      <c r="F170" s="13">
        <v>3</v>
      </c>
      <c r="G170" s="13">
        <v>3</v>
      </c>
      <c r="H170" s="13">
        <v>3</v>
      </c>
      <c r="I170" s="13">
        <v>3</v>
      </c>
      <c r="J170" s="13" t="s">
        <v>54</v>
      </c>
      <c r="K170" s="13">
        <v>1</v>
      </c>
      <c r="L170" s="14">
        <v>2</v>
      </c>
    </row>
    <row r="171" spans="1:12" x14ac:dyDescent="0.3">
      <c r="A171" s="9" t="s">
        <v>26</v>
      </c>
      <c r="B171" s="10" t="s">
        <v>335</v>
      </c>
      <c r="C171" s="10">
        <v>201</v>
      </c>
      <c r="D171" s="10"/>
      <c r="E171" s="10" t="s">
        <v>279</v>
      </c>
      <c r="F171" s="10">
        <v>3</v>
      </c>
      <c r="G171" s="10">
        <v>3</v>
      </c>
      <c r="H171" s="10">
        <v>3</v>
      </c>
      <c r="I171" s="10">
        <v>3</v>
      </c>
      <c r="J171" s="10" t="s">
        <v>54</v>
      </c>
      <c r="K171" s="10">
        <v>1</v>
      </c>
      <c r="L171" s="11">
        <v>2</v>
      </c>
    </row>
    <row r="172" spans="1:12" x14ac:dyDescent="0.3">
      <c r="A172" s="12" t="s">
        <v>26</v>
      </c>
      <c r="B172" s="13" t="s">
        <v>336</v>
      </c>
      <c r="C172" s="13">
        <v>106</v>
      </c>
      <c r="D172" s="13"/>
      <c r="E172" s="13" t="s">
        <v>279</v>
      </c>
      <c r="F172" s="13">
        <v>3</v>
      </c>
      <c r="G172" s="13">
        <v>3</v>
      </c>
      <c r="H172" s="13">
        <v>3</v>
      </c>
      <c r="I172" s="13">
        <v>3</v>
      </c>
      <c r="J172" s="13" t="s">
        <v>54</v>
      </c>
      <c r="K172" s="13">
        <v>1</v>
      </c>
      <c r="L172" s="14">
        <v>2</v>
      </c>
    </row>
    <row r="173" spans="1:12" x14ac:dyDescent="0.3">
      <c r="A173" s="9" t="s">
        <v>26</v>
      </c>
      <c r="B173" s="10" t="s">
        <v>71</v>
      </c>
      <c r="C173" s="10">
        <v>124</v>
      </c>
      <c r="D173" s="10"/>
      <c r="E173" s="10" t="s">
        <v>54</v>
      </c>
      <c r="F173" s="10">
        <v>1</v>
      </c>
      <c r="G173" s="10">
        <v>1</v>
      </c>
      <c r="H173" s="10">
        <v>1</v>
      </c>
      <c r="I173" s="10">
        <v>1</v>
      </c>
      <c r="J173" s="10" t="s">
        <v>54</v>
      </c>
      <c r="K173" s="10">
        <v>1</v>
      </c>
      <c r="L173" s="11">
        <v>0</v>
      </c>
    </row>
    <row r="174" spans="1:12" x14ac:dyDescent="0.3">
      <c r="A174" s="12" t="s">
        <v>26</v>
      </c>
      <c r="B174" s="13" t="s">
        <v>237</v>
      </c>
      <c r="C174" s="13">
        <v>54</v>
      </c>
      <c r="D174" s="13"/>
      <c r="E174" s="13" t="s">
        <v>279</v>
      </c>
      <c r="F174" s="13">
        <v>3</v>
      </c>
      <c r="G174" s="13">
        <v>3</v>
      </c>
      <c r="H174" s="13">
        <v>3</v>
      </c>
      <c r="I174" s="13">
        <v>3</v>
      </c>
      <c r="J174" s="13" t="s">
        <v>246</v>
      </c>
      <c r="K174" s="13">
        <v>2</v>
      </c>
      <c r="L174" s="14">
        <v>1</v>
      </c>
    </row>
    <row r="175" spans="1:12" x14ac:dyDescent="0.3">
      <c r="A175" s="9" t="s">
        <v>26</v>
      </c>
      <c r="B175" s="10" t="s">
        <v>133</v>
      </c>
      <c r="C175" s="10">
        <v>56</v>
      </c>
      <c r="D175" s="10"/>
      <c r="E175" s="10" t="s">
        <v>246</v>
      </c>
      <c r="F175" s="10">
        <v>2</v>
      </c>
      <c r="G175" s="10">
        <v>2</v>
      </c>
      <c r="H175" s="10">
        <v>2</v>
      </c>
      <c r="I175" s="10">
        <v>2</v>
      </c>
      <c r="J175" s="10" t="s">
        <v>246</v>
      </c>
      <c r="K175" s="10">
        <v>2</v>
      </c>
      <c r="L175" s="11">
        <v>0</v>
      </c>
    </row>
    <row r="176" spans="1:12" x14ac:dyDescent="0.3">
      <c r="A176" s="12" t="s">
        <v>26</v>
      </c>
      <c r="B176" s="13" t="s">
        <v>337</v>
      </c>
      <c r="C176" s="13">
        <v>149</v>
      </c>
      <c r="D176" s="13"/>
      <c r="E176" s="13" t="s">
        <v>246</v>
      </c>
      <c r="F176" s="13">
        <v>2</v>
      </c>
      <c r="G176" s="13">
        <v>2</v>
      </c>
      <c r="H176" s="13">
        <v>2</v>
      </c>
      <c r="I176" s="13">
        <v>2</v>
      </c>
      <c r="J176" s="13" t="s">
        <v>54</v>
      </c>
      <c r="K176" s="13">
        <v>1</v>
      </c>
      <c r="L176" s="14">
        <v>1</v>
      </c>
    </row>
    <row r="177" spans="1:12" x14ac:dyDescent="0.3">
      <c r="A177" s="9" t="s">
        <v>26</v>
      </c>
      <c r="B177" s="10" t="s">
        <v>338</v>
      </c>
      <c r="C177" s="10">
        <v>87</v>
      </c>
      <c r="D177" s="10"/>
      <c r="E177" s="10" t="s">
        <v>246</v>
      </c>
      <c r="F177" s="10">
        <v>2</v>
      </c>
      <c r="G177" s="10">
        <v>2</v>
      </c>
      <c r="H177" s="10">
        <v>2</v>
      </c>
      <c r="I177" s="10">
        <v>2</v>
      </c>
      <c r="J177" s="10" t="s">
        <v>54</v>
      </c>
      <c r="K177" s="10">
        <v>1</v>
      </c>
      <c r="L177" s="11">
        <v>1</v>
      </c>
    </row>
    <row r="178" spans="1:12" x14ac:dyDescent="0.3">
      <c r="A178" s="12" t="s">
        <v>26</v>
      </c>
      <c r="B178" s="13" t="s">
        <v>139</v>
      </c>
      <c r="C178" s="13">
        <v>76</v>
      </c>
      <c r="D178" s="13"/>
      <c r="E178" s="13" t="s">
        <v>246</v>
      </c>
      <c r="F178" s="13">
        <v>2</v>
      </c>
      <c r="G178" s="13">
        <v>2</v>
      </c>
      <c r="H178" s="13">
        <v>2</v>
      </c>
      <c r="I178" s="13">
        <v>2</v>
      </c>
      <c r="J178" s="13" t="s">
        <v>54</v>
      </c>
      <c r="K178" s="13">
        <v>1</v>
      </c>
      <c r="L178" s="14">
        <v>1</v>
      </c>
    </row>
    <row r="179" spans="1:12" x14ac:dyDescent="0.3">
      <c r="A179" s="9" t="s">
        <v>26</v>
      </c>
      <c r="B179" s="10" t="s">
        <v>172</v>
      </c>
      <c r="C179" s="10">
        <v>16</v>
      </c>
      <c r="D179" s="10">
        <v>16</v>
      </c>
      <c r="E179" s="10" t="s">
        <v>54</v>
      </c>
      <c r="F179" s="10">
        <v>1</v>
      </c>
      <c r="G179" s="10">
        <v>1</v>
      </c>
      <c r="H179" s="10">
        <v>1</v>
      </c>
      <c r="I179" s="10">
        <v>1</v>
      </c>
      <c r="J179" s="10" t="s">
        <v>295</v>
      </c>
      <c r="K179" s="10">
        <v>4</v>
      </c>
      <c r="L179" s="11">
        <v>-3</v>
      </c>
    </row>
    <row r="180" spans="1:12" x14ac:dyDescent="0.3">
      <c r="A180" s="12" t="s">
        <v>26</v>
      </c>
      <c r="B180" s="13" t="s">
        <v>198</v>
      </c>
      <c r="C180" s="13">
        <v>7</v>
      </c>
      <c r="D180" s="13">
        <v>7</v>
      </c>
      <c r="E180" s="13" t="s">
        <v>246</v>
      </c>
      <c r="F180" s="13">
        <v>2</v>
      </c>
      <c r="G180" s="13">
        <v>2</v>
      </c>
      <c r="H180" s="13">
        <v>2</v>
      </c>
      <c r="I180" s="13">
        <v>2</v>
      </c>
      <c r="J180" s="13" t="s">
        <v>325</v>
      </c>
      <c r="K180" s="13">
        <v>5</v>
      </c>
      <c r="L180" s="14">
        <v>-3</v>
      </c>
    </row>
    <row r="181" spans="1:12" x14ac:dyDescent="0.3">
      <c r="A181" s="9" t="s">
        <v>26</v>
      </c>
      <c r="B181" s="10" t="s">
        <v>339</v>
      </c>
      <c r="C181" s="10">
        <v>118</v>
      </c>
      <c r="D181" s="10"/>
      <c r="E181" s="10" t="s">
        <v>246</v>
      </c>
      <c r="F181" s="10">
        <v>2</v>
      </c>
      <c r="G181" s="10">
        <v>2</v>
      </c>
      <c r="H181" s="10">
        <v>2</v>
      </c>
      <c r="I181" s="10">
        <v>2</v>
      </c>
      <c r="J181" s="10" t="s">
        <v>54</v>
      </c>
      <c r="K181" s="10">
        <v>1</v>
      </c>
      <c r="L181" s="11">
        <v>1</v>
      </c>
    </row>
    <row r="182" spans="1:12" x14ac:dyDescent="0.3">
      <c r="A182" s="12" t="s">
        <v>26</v>
      </c>
      <c r="B182" s="13" t="s">
        <v>100</v>
      </c>
      <c r="C182" s="13">
        <v>9</v>
      </c>
      <c r="D182" s="13">
        <v>9</v>
      </c>
      <c r="E182" s="13" t="s">
        <v>246</v>
      </c>
      <c r="F182" s="13">
        <v>2</v>
      </c>
      <c r="G182" s="13">
        <v>2</v>
      </c>
      <c r="H182" s="13">
        <v>2</v>
      </c>
      <c r="I182" s="13">
        <v>2</v>
      </c>
      <c r="J182" s="13" t="s">
        <v>295</v>
      </c>
      <c r="K182" s="13">
        <v>4</v>
      </c>
      <c r="L182" s="14">
        <v>-2</v>
      </c>
    </row>
    <row r="183" spans="1:12" x14ac:dyDescent="0.3">
      <c r="A183" s="9" t="s">
        <v>26</v>
      </c>
      <c r="B183" s="10" t="s">
        <v>62</v>
      </c>
      <c r="C183" s="10">
        <v>137</v>
      </c>
      <c r="D183" s="10"/>
      <c r="E183" s="10" t="s">
        <v>54</v>
      </c>
      <c r="F183" s="10">
        <v>1</v>
      </c>
      <c r="G183" s="10">
        <v>1</v>
      </c>
      <c r="H183" s="10">
        <v>1</v>
      </c>
      <c r="I183" s="10">
        <v>1</v>
      </c>
      <c r="J183" s="10" t="s">
        <v>54</v>
      </c>
      <c r="K183" s="10">
        <v>1</v>
      </c>
      <c r="L183" s="11">
        <v>0</v>
      </c>
    </row>
    <row r="184" spans="1:12" x14ac:dyDescent="0.3">
      <c r="A184" s="12" t="s">
        <v>26</v>
      </c>
      <c r="B184" s="13" t="s">
        <v>340</v>
      </c>
      <c r="C184" s="13">
        <v>138</v>
      </c>
      <c r="D184" s="13"/>
      <c r="E184" s="13" t="s">
        <v>246</v>
      </c>
      <c r="F184" s="13">
        <v>2</v>
      </c>
      <c r="G184" s="13">
        <v>2</v>
      </c>
      <c r="H184" s="13">
        <v>2</v>
      </c>
      <c r="I184" s="13">
        <v>2</v>
      </c>
      <c r="J184" s="13" t="s">
        <v>54</v>
      </c>
      <c r="K184" s="13">
        <v>1</v>
      </c>
      <c r="L184" s="14">
        <v>1</v>
      </c>
    </row>
    <row r="185" spans="1:12" x14ac:dyDescent="0.3">
      <c r="A185" s="9" t="s">
        <v>26</v>
      </c>
      <c r="B185" s="10" t="s">
        <v>165</v>
      </c>
      <c r="C185" s="10">
        <v>74</v>
      </c>
      <c r="D185" s="10"/>
      <c r="E185" s="10" t="s">
        <v>246</v>
      </c>
      <c r="F185" s="10">
        <v>2</v>
      </c>
      <c r="G185" s="10">
        <v>2</v>
      </c>
      <c r="H185" s="10">
        <v>2</v>
      </c>
      <c r="I185" s="10">
        <v>2</v>
      </c>
      <c r="J185" s="10" t="s">
        <v>54</v>
      </c>
      <c r="K185" s="10">
        <v>1</v>
      </c>
      <c r="L185" s="11">
        <v>1</v>
      </c>
    </row>
    <row r="186" spans="1:12" x14ac:dyDescent="0.3">
      <c r="A186" s="12" t="s">
        <v>26</v>
      </c>
      <c r="B186" s="13" t="s">
        <v>213</v>
      </c>
      <c r="C186" s="13">
        <v>92</v>
      </c>
      <c r="D186" s="13"/>
      <c r="E186" s="13" t="s">
        <v>54</v>
      </c>
      <c r="F186" s="13">
        <v>1</v>
      </c>
      <c r="G186" s="13">
        <v>1</v>
      </c>
      <c r="H186" s="13">
        <v>1</v>
      </c>
      <c r="I186" s="13">
        <v>1</v>
      </c>
      <c r="J186" s="13" t="s">
        <v>54</v>
      </c>
      <c r="K186" s="13">
        <v>1</v>
      </c>
      <c r="L186" s="14">
        <v>0</v>
      </c>
    </row>
    <row r="187" spans="1:12" x14ac:dyDescent="0.3">
      <c r="A187" s="9" t="s">
        <v>26</v>
      </c>
      <c r="B187" s="10" t="s">
        <v>199</v>
      </c>
      <c r="C187" s="10">
        <v>58</v>
      </c>
      <c r="D187" s="10"/>
      <c r="E187" s="10" t="s">
        <v>246</v>
      </c>
      <c r="F187" s="10">
        <v>2</v>
      </c>
      <c r="G187" s="10">
        <v>2</v>
      </c>
      <c r="H187" s="10">
        <v>2</v>
      </c>
      <c r="I187" s="10">
        <v>2</v>
      </c>
      <c r="J187" s="10" t="s">
        <v>246</v>
      </c>
      <c r="K187" s="10">
        <v>2</v>
      </c>
      <c r="L187" s="11">
        <v>0</v>
      </c>
    </row>
    <row r="188" spans="1:12" x14ac:dyDescent="0.3">
      <c r="A188" s="12" t="s">
        <v>26</v>
      </c>
      <c r="B188" s="13" t="s">
        <v>229</v>
      </c>
      <c r="C188" s="13">
        <v>91</v>
      </c>
      <c r="D188" s="13"/>
      <c r="E188" s="13" t="s">
        <v>246</v>
      </c>
      <c r="F188" s="13">
        <v>2</v>
      </c>
      <c r="G188" s="13">
        <v>2</v>
      </c>
      <c r="H188" s="13">
        <v>2</v>
      </c>
      <c r="I188" s="13">
        <v>2</v>
      </c>
      <c r="J188" s="13" t="s">
        <v>54</v>
      </c>
      <c r="K188" s="13">
        <v>1</v>
      </c>
      <c r="L188" s="14">
        <v>1</v>
      </c>
    </row>
    <row r="189" spans="1:12" x14ac:dyDescent="0.3">
      <c r="A189" s="9" t="s">
        <v>26</v>
      </c>
      <c r="B189" s="10" t="s">
        <v>202</v>
      </c>
      <c r="C189" s="10">
        <v>132</v>
      </c>
      <c r="D189" s="10"/>
      <c r="E189" s="10" t="s">
        <v>54</v>
      </c>
      <c r="F189" s="10">
        <v>1</v>
      </c>
      <c r="G189" s="10">
        <v>1</v>
      </c>
      <c r="H189" s="10">
        <v>1</v>
      </c>
      <c r="I189" s="10">
        <v>1</v>
      </c>
      <c r="J189" s="10" t="s">
        <v>54</v>
      </c>
      <c r="K189" s="10">
        <v>1</v>
      </c>
      <c r="L189" s="11">
        <v>0</v>
      </c>
    </row>
    <row r="190" spans="1:12" x14ac:dyDescent="0.3">
      <c r="A190" s="12" t="s">
        <v>26</v>
      </c>
      <c r="B190" s="13" t="s">
        <v>201</v>
      </c>
      <c r="C190" s="13">
        <v>19</v>
      </c>
      <c r="D190" s="13">
        <v>19</v>
      </c>
      <c r="E190" s="13" t="s">
        <v>246</v>
      </c>
      <c r="F190" s="13">
        <v>2</v>
      </c>
      <c r="G190" s="13">
        <v>2</v>
      </c>
      <c r="H190" s="13">
        <v>2</v>
      </c>
      <c r="I190" s="13">
        <v>2</v>
      </c>
      <c r="J190" s="13" t="s">
        <v>279</v>
      </c>
      <c r="K190" s="13">
        <v>3</v>
      </c>
      <c r="L190" s="14">
        <v>-1</v>
      </c>
    </row>
    <row r="191" spans="1:12" x14ac:dyDescent="0.3">
      <c r="A191" s="9" t="s">
        <v>26</v>
      </c>
      <c r="B191" s="10" t="s">
        <v>61</v>
      </c>
      <c r="C191" s="10">
        <v>43</v>
      </c>
      <c r="D191" s="10"/>
      <c r="E191" s="10" t="s">
        <v>54</v>
      </c>
      <c r="F191" s="10">
        <v>1</v>
      </c>
      <c r="G191" s="10">
        <v>1</v>
      </c>
      <c r="H191" s="10">
        <v>1</v>
      </c>
      <c r="I191" s="10">
        <v>1</v>
      </c>
      <c r="J191" s="10" t="s">
        <v>246</v>
      </c>
      <c r="K191" s="10">
        <v>2</v>
      </c>
      <c r="L191" s="11">
        <v>-1</v>
      </c>
    </row>
    <row r="192" spans="1:12" x14ac:dyDescent="0.3">
      <c r="A192" s="12" t="s">
        <v>26</v>
      </c>
      <c r="B192" s="13" t="s">
        <v>80</v>
      </c>
      <c r="C192" s="13">
        <v>20</v>
      </c>
      <c r="D192" s="13">
        <v>20</v>
      </c>
      <c r="E192" s="13" t="s">
        <v>246</v>
      </c>
      <c r="F192" s="13">
        <v>2</v>
      </c>
      <c r="G192" s="13">
        <v>2</v>
      </c>
      <c r="H192" s="13">
        <v>2</v>
      </c>
      <c r="I192" s="13">
        <v>2</v>
      </c>
      <c r="J192" s="13" t="s">
        <v>279</v>
      </c>
      <c r="K192" s="13">
        <v>3</v>
      </c>
      <c r="L192" s="14">
        <v>-1</v>
      </c>
    </row>
    <row r="193" spans="1:12" x14ac:dyDescent="0.3">
      <c r="A193" s="9" t="s">
        <v>26</v>
      </c>
      <c r="B193" s="10" t="s">
        <v>222</v>
      </c>
      <c r="C193" s="10">
        <v>22</v>
      </c>
      <c r="D193" s="10">
        <v>22</v>
      </c>
      <c r="E193" s="10" t="s">
        <v>246</v>
      </c>
      <c r="F193" s="10">
        <v>2</v>
      </c>
      <c r="G193" s="10">
        <v>2</v>
      </c>
      <c r="H193" s="10">
        <v>2</v>
      </c>
      <c r="I193" s="10">
        <v>2</v>
      </c>
      <c r="J193" s="10" t="s">
        <v>279</v>
      </c>
      <c r="K193" s="10">
        <v>3</v>
      </c>
      <c r="L193" s="11">
        <v>-1</v>
      </c>
    </row>
    <row r="194" spans="1:12" x14ac:dyDescent="0.3">
      <c r="A194" s="12" t="s">
        <v>26</v>
      </c>
      <c r="B194" s="13" t="s">
        <v>104</v>
      </c>
      <c r="C194" s="13">
        <v>165</v>
      </c>
      <c r="D194" s="13"/>
      <c r="E194" s="13" t="s">
        <v>246</v>
      </c>
      <c r="F194" s="13">
        <v>2</v>
      </c>
      <c r="G194" s="13">
        <v>2</v>
      </c>
      <c r="H194" s="13">
        <v>2</v>
      </c>
      <c r="I194" s="13">
        <v>2</v>
      </c>
      <c r="J194" s="13" t="s">
        <v>54</v>
      </c>
      <c r="K194" s="13">
        <v>1</v>
      </c>
      <c r="L194" s="14">
        <v>1</v>
      </c>
    </row>
    <row r="195" spans="1:12" x14ac:dyDescent="0.3">
      <c r="A195" s="9" t="s">
        <v>26</v>
      </c>
      <c r="B195" s="10" t="s">
        <v>341</v>
      </c>
      <c r="C195" s="10">
        <v>96</v>
      </c>
      <c r="D195" s="10"/>
      <c r="E195" s="10" t="s">
        <v>54</v>
      </c>
      <c r="F195" s="10">
        <v>1</v>
      </c>
      <c r="G195" s="10">
        <v>1</v>
      </c>
      <c r="H195" s="10">
        <v>1</v>
      </c>
      <c r="I195" s="10">
        <v>1</v>
      </c>
      <c r="J195" s="10" t="s">
        <v>54</v>
      </c>
      <c r="K195" s="10">
        <v>1</v>
      </c>
      <c r="L195" s="11">
        <v>0</v>
      </c>
    </row>
    <row r="196" spans="1:12" x14ac:dyDescent="0.3">
      <c r="A196" s="12" t="s">
        <v>26</v>
      </c>
      <c r="B196" s="13" t="s">
        <v>342</v>
      </c>
      <c r="C196" s="13">
        <v>128</v>
      </c>
      <c r="D196" s="13"/>
      <c r="E196" s="13" t="s">
        <v>246</v>
      </c>
      <c r="F196" s="13">
        <v>2</v>
      </c>
      <c r="G196" s="13">
        <v>2</v>
      </c>
      <c r="H196" s="13">
        <v>2</v>
      </c>
      <c r="I196" s="13">
        <v>2</v>
      </c>
      <c r="J196" s="13" t="s">
        <v>54</v>
      </c>
      <c r="K196" s="13">
        <v>1</v>
      </c>
      <c r="L196" s="14">
        <v>1</v>
      </c>
    </row>
    <row r="197" spans="1:12" x14ac:dyDescent="0.3">
      <c r="A197" s="9" t="s">
        <v>26</v>
      </c>
      <c r="B197" s="10" t="s">
        <v>211</v>
      </c>
      <c r="C197" s="10">
        <v>61</v>
      </c>
      <c r="D197" s="10"/>
      <c r="E197" s="10" t="s">
        <v>246</v>
      </c>
      <c r="F197" s="10">
        <v>2</v>
      </c>
      <c r="G197" s="10">
        <v>2</v>
      </c>
      <c r="H197" s="10">
        <v>2</v>
      </c>
      <c r="I197" s="10">
        <v>2</v>
      </c>
      <c r="J197" s="10" t="s">
        <v>246</v>
      </c>
      <c r="K197" s="10">
        <v>2</v>
      </c>
      <c r="L197" s="11">
        <v>0</v>
      </c>
    </row>
    <row r="198" spans="1:12" x14ac:dyDescent="0.3">
      <c r="A198" s="12" t="s">
        <v>26</v>
      </c>
      <c r="B198" s="13" t="s">
        <v>217</v>
      </c>
      <c r="C198" s="13">
        <v>130</v>
      </c>
      <c r="D198" s="13"/>
      <c r="E198" s="13" t="s">
        <v>54</v>
      </c>
      <c r="F198" s="13">
        <v>1</v>
      </c>
      <c r="G198" s="13">
        <v>1</v>
      </c>
      <c r="H198" s="13">
        <v>1</v>
      </c>
      <c r="I198" s="13">
        <v>1</v>
      </c>
      <c r="J198" s="13" t="s">
        <v>54</v>
      </c>
      <c r="K198" s="13">
        <v>1</v>
      </c>
      <c r="L198" s="14">
        <v>0</v>
      </c>
    </row>
    <row r="199" spans="1:12" x14ac:dyDescent="0.3">
      <c r="A199" s="9" t="s">
        <v>26</v>
      </c>
      <c r="B199" s="10" t="s">
        <v>204</v>
      </c>
      <c r="C199" s="10">
        <v>26</v>
      </c>
      <c r="D199" s="10">
        <v>26</v>
      </c>
      <c r="E199" s="10" t="s">
        <v>246</v>
      </c>
      <c r="F199" s="10">
        <v>2</v>
      </c>
      <c r="G199" s="10">
        <v>2</v>
      </c>
      <c r="H199" s="10">
        <v>2</v>
      </c>
      <c r="I199" s="10">
        <v>2</v>
      </c>
      <c r="J199" s="10" t="s">
        <v>279</v>
      </c>
      <c r="K199" s="10">
        <v>3</v>
      </c>
      <c r="L199" s="11">
        <v>-1</v>
      </c>
    </row>
    <row r="200" spans="1:12" x14ac:dyDescent="0.3">
      <c r="A200" s="12" t="s">
        <v>26</v>
      </c>
      <c r="B200" s="13" t="s">
        <v>121</v>
      </c>
      <c r="C200" s="13">
        <v>27</v>
      </c>
      <c r="D200" s="13">
        <v>27</v>
      </c>
      <c r="E200" s="13" t="s">
        <v>246</v>
      </c>
      <c r="F200" s="13">
        <v>2</v>
      </c>
      <c r="G200" s="13">
        <v>2</v>
      </c>
      <c r="H200" s="13">
        <v>2</v>
      </c>
      <c r="I200" s="13">
        <v>2</v>
      </c>
      <c r="J200" s="13" t="s">
        <v>279</v>
      </c>
      <c r="K200" s="13">
        <v>3</v>
      </c>
      <c r="L200" s="14">
        <v>-1</v>
      </c>
    </row>
    <row r="201" spans="1:12" x14ac:dyDescent="0.3">
      <c r="A201" s="9" t="s">
        <v>26</v>
      </c>
      <c r="B201" s="10" t="s">
        <v>113</v>
      </c>
      <c r="C201" s="10">
        <v>32</v>
      </c>
      <c r="D201" s="10">
        <v>31</v>
      </c>
      <c r="E201" s="10" t="s">
        <v>246</v>
      </c>
      <c r="F201" s="10">
        <v>2</v>
      </c>
      <c r="G201" s="10">
        <v>2</v>
      </c>
      <c r="H201" s="10">
        <v>2</v>
      </c>
      <c r="I201" s="10">
        <v>2</v>
      </c>
      <c r="J201" s="10" t="s">
        <v>279</v>
      </c>
      <c r="K201" s="10">
        <v>3</v>
      </c>
      <c r="L201" s="11">
        <v>-1</v>
      </c>
    </row>
    <row r="202" spans="1:12" x14ac:dyDescent="0.3">
      <c r="A202" s="12" t="s">
        <v>26</v>
      </c>
      <c r="B202" s="13" t="s">
        <v>220</v>
      </c>
      <c r="C202" s="13">
        <v>82</v>
      </c>
      <c r="D202" s="13"/>
      <c r="E202" s="13" t="s">
        <v>54</v>
      </c>
      <c r="F202" s="13">
        <v>1</v>
      </c>
      <c r="G202" s="13">
        <v>1</v>
      </c>
      <c r="H202" s="13">
        <v>1</v>
      </c>
      <c r="I202" s="13">
        <v>1</v>
      </c>
      <c r="J202" s="13" t="s">
        <v>54</v>
      </c>
      <c r="K202" s="13">
        <v>1</v>
      </c>
      <c r="L202" s="14">
        <v>0</v>
      </c>
    </row>
    <row r="203" spans="1:12" x14ac:dyDescent="0.3">
      <c r="A203" s="9" t="s">
        <v>26</v>
      </c>
      <c r="B203" s="10" t="s">
        <v>343</v>
      </c>
      <c r="C203" s="10">
        <v>85</v>
      </c>
      <c r="D203" s="10"/>
      <c r="E203" s="10" t="s">
        <v>246</v>
      </c>
      <c r="F203" s="10">
        <v>2</v>
      </c>
      <c r="G203" s="10">
        <v>2</v>
      </c>
      <c r="H203" s="10">
        <v>2</v>
      </c>
      <c r="I203" s="10">
        <v>2</v>
      </c>
      <c r="J203" s="10" t="s">
        <v>54</v>
      </c>
      <c r="K203" s="10">
        <v>1</v>
      </c>
      <c r="L203" s="11">
        <v>1</v>
      </c>
    </row>
    <row r="204" spans="1:12" x14ac:dyDescent="0.3">
      <c r="A204" s="12" t="s">
        <v>26</v>
      </c>
      <c r="B204" s="13" t="s">
        <v>125</v>
      </c>
      <c r="C204" s="13">
        <v>39</v>
      </c>
      <c r="D204" s="13"/>
      <c r="E204" s="13" t="s">
        <v>246</v>
      </c>
      <c r="F204" s="13">
        <v>2</v>
      </c>
      <c r="G204" s="13">
        <v>2</v>
      </c>
      <c r="H204" s="13">
        <v>2</v>
      </c>
      <c r="I204" s="13">
        <v>2</v>
      </c>
      <c r="J204" s="13" t="s">
        <v>246</v>
      </c>
      <c r="K204" s="13">
        <v>2</v>
      </c>
      <c r="L204" s="14">
        <v>0</v>
      </c>
    </row>
    <row r="205" spans="1:12" x14ac:dyDescent="0.3">
      <c r="A205" s="9" t="s">
        <v>26</v>
      </c>
      <c r="B205" s="10" t="s">
        <v>192</v>
      </c>
      <c r="C205" s="10">
        <v>75</v>
      </c>
      <c r="D205" s="10"/>
      <c r="E205" s="10" t="s">
        <v>54</v>
      </c>
      <c r="F205" s="10">
        <v>1</v>
      </c>
      <c r="G205" s="10">
        <v>1</v>
      </c>
      <c r="H205" s="10">
        <v>1</v>
      </c>
      <c r="I205" s="10">
        <v>1</v>
      </c>
      <c r="J205" s="10" t="s">
        <v>54</v>
      </c>
      <c r="K205" s="10">
        <v>1</v>
      </c>
      <c r="L205" s="11">
        <v>0</v>
      </c>
    </row>
    <row r="206" spans="1:12" x14ac:dyDescent="0.3">
      <c r="A206" s="12" t="s">
        <v>26</v>
      </c>
      <c r="B206" s="13" t="s">
        <v>85</v>
      </c>
      <c r="C206" s="13">
        <v>53</v>
      </c>
      <c r="D206" s="13"/>
      <c r="E206" s="13" t="s">
        <v>246</v>
      </c>
      <c r="F206" s="13">
        <v>2</v>
      </c>
      <c r="G206" s="13">
        <v>2</v>
      </c>
      <c r="H206" s="13">
        <v>2</v>
      </c>
      <c r="I206" s="13">
        <v>2</v>
      </c>
      <c r="J206" s="13" t="s">
        <v>246</v>
      </c>
      <c r="K206" s="13">
        <v>2</v>
      </c>
      <c r="L206" s="14">
        <v>0</v>
      </c>
    </row>
    <row r="207" spans="1:12" x14ac:dyDescent="0.3">
      <c r="A207" s="9" t="s">
        <v>26</v>
      </c>
      <c r="B207" s="10" t="s">
        <v>70</v>
      </c>
      <c r="C207" s="10">
        <v>46</v>
      </c>
      <c r="D207" s="10"/>
      <c r="E207" s="10" t="s">
        <v>246</v>
      </c>
      <c r="F207" s="10">
        <v>2</v>
      </c>
      <c r="G207" s="10">
        <v>2</v>
      </c>
      <c r="H207" s="10">
        <v>2</v>
      </c>
      <c r="I207" s="10">
        <v>2</v>
      </c>
      <c r="J207" s="10" t="s">
        <v>246</v>
      </c>
      <c r="K207" s="10">
        <v>2</v>
      </c>
      <c r="L207" s="11">
        <v>0</v>
      </c>
    </row>
    <row r="208" spans="1:12" x14ac:dyDescent="0.3">
      <c r="A208" s="12" t="s">
        <v>26</v>
      </c>
      <c r="B208" s="13" t="s">
        <v>147</v>
      </c>
      <c r="C208" s="13">
        <v>11</v>
      </c>
      <c r="D208" s="13">
        <v>11</v>
      </c>
      <c r="E208" s="13" t="s">
        <v>54</v>
      </c>
      <c r="F208" s="13">
        <v>1</v>
      </c>
      <c r="G208" s="13">
        <v>1</v>
      </c>
      <c r="H208" s="13">
        <v>1</v>
      </c>
      <c r="I208" s="13">
        <v>1</v>
      </c>
      <c r="J208" s="13" t="s">
        <v>295</v>
      </c>
      <c r="K208" s="13">
        <v>4</v>
      </c>
      <c r="L208" s="14">
        <v>-3</v>
      </c>
    </row>
    <row r="209" spans="1:12" x14ac:dyDescent="0.3">
      <c r="A209" s="9" t="s">
        <v>26</v>
      </c>
      <c r="B209" s="10" t="s">
        <v>344</v>
      </c>
      <c r="C209" s="10">
        <v>109</v>
      </c>
      <c r="D209" s="10"/>
      <c r="E209" s="10" t="s">
        <v>246</v>
      </c>
      <c r="F209" s="10">
        <v>2</v>
      </c>
      <c r="G209" s="10">
        <v>2</v>
      </c>
      <c r="H209" s="10">
        <v>2</v>
      </c>
      <c r="I209" s="10">
        <v>2</v>
      </c>
      <c r="J209" s="10" t="s">
        <v>54</v>
      </c>
      <c r="K209" s="10">
        <v>1</v>
      </c>
      <c r="L209" s="11">
        <v>1</v>
      </c>
    </row>
    <row r="210" spans="1:12" x14ac:dyDescent="0.3">
      <c r="A210" s="12" t="s">
        <v>26</v>
      </c>
      <c r="B210" s="13" t="s">
        <v>156</v>
      </c>
      <c r="C210" s="13">
        <v>95</v>
      </c>
      <c r="D210" s="13"/>
      <c r="E210" s="13" t="s">
        <v>246</v>
      </c>
      <c r="F210" s="13">
        <v>2</v>
      </c>
      <c r="G210" s="13">
        <v>2</v>
      </c>
      <c r="H210" s="13">
        <v>2</v>
      </c>
      <c r="I210" s="13">
        <v>2</v>
      </c>
      <c r="J210" s="13" t="s">
        <v>54</v>
      </c>
      <c r="K210" s="13">
        <v>1</v>
      </c>
      <c r="L210" s="14">
        <v>1</v>
      </c>
    </row>
    <row r="211" spans="1:12" x14ac:dyDescent="0.3">
      <c r="A211" s="9" t="s">
        <v>26</v>
      </c>
      <c r="B211" s="10" t="s">
        <v>345</v>
      </c>
      <c r="C211" s="10">
        <v>237</v>
      </c>
      <c r="D211" s="10"/>
      <c r="E211" s="10" t="s">
        <v>54</v>
      </c>
      <c r="F211" s="10">
        <v>1</v>
      </c>
      <c r="G211" s="10">
        <v>1</v>
      </c>
      <c r="H211" s="10">
        <v>1</v>
      </c>
      <c r="I211" s="10">
        <v>1</v>
      </c>
      <c r="J211" s="10" t="s">
        <v>54</v>
      </c>
      <c r="K211" s="10">
        <v>1</v>
      </c>
      <c r="L211" s="11">
        <v>0</v>
      </c>
    </row>
    <row r="212" spans="1:12" x14ac:dyDescent="0.3">
      <c r="A212" s="12" t="s">
        <v>26</v>
      </c>
      <c r="B212" s="13" t="s">
        <v>346</v>
      </c>
      <c r="C212" s="13">
        <v>142</v>
      </c>
      <c r="D212" s="13"/>
      <c r="E212" s="13" t="s">
        <v>246</v>
      </c>
      <c r="F212" s="13">
        <v>2</v>
      </c>
      <c r="G212" s="13">
        <v>2</v>
      </c>
      <c r="H212" s="13">
        <v>2</v>
      </c>
      <c r="I212" s="13">
        <v>2</v>
      </c>
      <c r="J212" s="13" t="s">
        <v>54</v>
      </c>
      <c r="K212" s="13">
        <v>1</v>
      </c>
      <c r="L212" s="14">
        <v>1</v>
      </c>
    </row>
    <row r="213" spans="1:12" x14ac:dyDescent="0.3">
      <c r="A213" s="9" t="s">
        <v>26</v>
      </c>
      <c r="B213" s="10" t="s">
        <v>196</v>
      </c>
      <c r="C213" s="10">
        <v>97</v>
      </c>
      <c r="D213" s="10"/>
      <c r="E213" s="10" t="s">
        <v>246</v>
      </c>
      <c r="F213" s="10">
        <v>2</v>
      </c>
      <c r="G213" s="10">
        <v>2</v>
      </c>
      <c r="H213" s="10">
        <v>2</v>
      </c>
      <c r="I213" s="10">
        <v>2</v>
      </c>
      <c r="J213" s="10" t="s">
        <v>54</v>
      </c>
      <c r="K213" s="10">
        <v>1</v>
      </c>
      <c r="L213" s="11">
        <v>1</v>
      </c>
    </row>
    <row r="214" spans="1:12" x14ac:dyDescent="0.3">
      <c r="A214" s="12" t="s">
        <v>26</v>
      </c>
      <c r="B214" s="13" t="s">
        <v>137</v>
      </c>
      <c r="C214" s="13">
        <v>72</v>
      </c>
      <c r="D214" s="13"/>
      <c r="E214" s="13" t="s">
        <v>54</v>
      </c>
      <c r="F214" s="13">
        <v>1</v>
      </c>
      <c r="G214" s="13">
        <v>1</v>
      </c>
      <c r="H214" s="13">
        <v>1</v>
      </c>
      <c r="I214" s="13">
        <v>1</v>
      </c>
      <c r="J214" s="13" t="s">
        <v>54</v>
      </c>
      <c r="K214" s="13">
        <v>1</v>
      </c>
      <c r="L214" s="14">
        <v>0</v>
      </c>
    </row>
    <row r="215" spans="1:12" x14ac:dyDescent="0.3">
      <c r="A215" s="9" t="s">
        <v>26</v>
      </c>
      <c r="B215" s="10" t="s">
        <v>186</v>
      </c>
      <c r="C215" s="10">
        <v>38</v>
      </c>
      <c r="D215" s="10"/>
      <c r="E215" s="10" t="s">
        <v>54</v>
      </c>
      <c r="F215" s="10">
        <v>1</v>
      </c>
      <c r="G215" s="10">
        <v>1</v>
      </c>
      <c r="H215" s="10">
        <v>1</v>
      </c>
      <c r="I215" s="10">
        <v>1</v>
      </c>
      <c r="J215" s="10" t="s">
        <v>246</v>
      </c>
      <c r="K215" s="10">
        <v>2</v>
      </c>
      <c r="L215" s="11">
        <v>-1</v>
      </c>
    </row>
    <row r="216" spans="1:12" x14ac:dyDescent="0.3">
      <c r="A216" s="12" t="s">
        <v>26</v>
      </c>
      <c r="B216" s="13" t="s">
        <v>347</v>
      </c>
      <c r="C216" s="13">
        <v>306</v>
      </c>
      <c r="D216" s="13"/>
      <c r="E216" s="13" t="s">
        <v>54</v>
      </c>
      <c r="F216" s="13">
        <v>1</v>
      </c>
      <c r="G216" s="13">
        <v>1</v>
      </c>
      <c r="H216" s="13">
        <v>1</v>
      </c>
      <c r="I216" s="13">
        <v>1</v>
      </c>
      <c r="J216" s="13" t="s">
        <v>54</v>
      </c>
      <c r="K216" s="13">
        <v>1</v>
      </c>
      <c r="L216" s="14">
        <v>0</v>
      </c>
    </row>
    <row r="217" spans="1:12" x14ac:dyDescent="0.3">
      <c r="A217" s="9" t="s">
        <v>26</v>
      </c>
      <c r="B217" s="10" t="s">
        <v>144</v>
      </c>
      <c r="C217" s="10">
        <v>67</v>
      </c>
      <c r="D217" s="10"/>
      <c r="E217" s="10" t="s">
        <v>54</v>
      </c>
      <c r="F217" s="10">
        <v>1</v>
      </c>
      <c r="G217" s="10">
        <v>1</v>
      </c>
      <c r="H217" s="10">
        <v>1</v>
      </c>
      <c r="I217" s="10">
        <v>1</v>
      </c>
      <c r="J217" s="10" t="s">
        <v>54</v>
      </c>
      <c r="K217" s="10">
        <v>1</v>
      </c>
      <c r="L217" s="11">
        <v>0</v>
      </c>
    </row>
    <row r="218" spans="1:12" x14ac:dyDescent="0.3">
      <c r="A218" s="12" t="s">
        <v>26</v>
      </c>
      <c r="B218" s="13" t="s">
        <v>103</v>
      </c>
      <c r="C218" s="13">
        <v>4</v>
      </c>
      <c r="D218" s="13">
        <v>4</v>
      </c>
      <c r="E218" s="13" t="s">
        <v>54</v>
      </c>
      <c r="F218" s="13">
        <v>1</v>
      </c>
      <c r="G218" s="13">
        <v>1</v>
      </c>
      <c r="H218" s="13">
        <v>1</v>
      </c>
      <c r="I218" s="13">
        <v>1</v>
      </c>
      <c r="J218" s="13" t="s">
        <v>326</v>
      </c>
      <c r="K218" s="13">
        <v>6</v>
      </c>
      <c r="L218" s="14">
        <v>-5</v>
      </c>
    </row>
    <row r="219" spans="1:12" x14ac:dyDescent="0.3">
      <c r="A219" s="9" t="s">
        <v>26</v>
      </c>
      <c r="B219" s="10" t="s">
        <v>348</v>
      </c>
      <c r="C219" s="10">
        <v>99</v>
      </c>
      <c r="D219" s="10"/>
      <c r="E219" s="10" t="s">
        <v>54</v>
      </c>
      <c r="F219" s="10">
        <v>1</v>
      </c>
      <c r="G219" s="10">
        <v>1</v>
      </c>
      <c r="H219" s="10">
        <v>1</v>
      </c>
      <c r="I219" s="10">
        <v>1</v>
      </c>
      <c r="J219" s="10" t="s">
        <v>54</v>
      </c>
      <c r="K219" s="10">
        <v>1</v>
      </c>
      <c r="L219" s="11">
        <v>0</v>
      </c>
    </row>
    <row r="220" spans="1:12" x14ac:dyDescent="0.3">
      <c r="A220" s="12" t="s">
        <v>26</v>
      </c>
      <c r="B220" s="13" t="s">
        <v>349</v>
      </c>
      <c r="C220" s="13">
        <v>68</v>
      </c>
      <c r="D220" s="13"/>
      <c r="E220" s="13" t="s">
        <v>54</v>
      </c>
      <c r="F220" s="13">
        <v>1</v>
      </c>
      <c r="G220" s="13">
        <v>1</v>
      </c>
      <c r="H220" s="13">
        <v>1</v>
      </c>
      <c r="I220" s="13">
        <v>1</v>
      </c>
      <c r="J220" s="13" t="s">
        <v>54</v>
      </c>
      <c r="K220" s="13">
        <v>1</v>
      </c>
      <c r="L220" s="14">
        <v>0</v>
      </c>
    </row>
    <row r="221" spans="1:12" x14ac:dyDescent="0.3">
      <c r="A221" s="9" t="s">
        <v>26</v>
      </c>
      <c r="B221" s="10" t="s">
        <v>350</v>
      </c>
      <c r="C221" s="10">
        <v>59</v>
      </c>
      <c r="D221" s="10"/>
      <c r="E221" s="10" t="s">
        <v>54</v>
      </c>
      <c r="F221" s="10">
        <v>1</v>
      </c>
      <c r="G221" s="10">
        <v>1</v>
      </c>
      <c r="H221" s="10">
        <v>1</v>
      </c>
      <c r="I221" s="10">
        <v>1</v>
      </c>
      <c r="J221" s="10" t="s">
        <v>246</v>
      </c>
      <c r="K221" s="10">
        <v>2</v>
      </c>
      <c r="L221" s="11">
        <v>-1</v>
      </c>
    </row>
    <row r="222" spans="1:12" x14ac:dyDescent="0.3">
      <c r="A222" s="12" t="s">
        <v>26</v>
      </c>
      <c r="B222" s="13" t="s">
        <v>351</v>
      </c>
      <c r="C222" s="13">
        <v>108</v>
      </c>
      <c r="D222" s="13"/>
      <c r="E222" s="13" t="s">
        <v>54</v>
      </c>
      <c r="F222" s="13">
        <v>1</v>
      </c>
      <c r="G222" s="13">
        <v>1</v>
      </c>
      <c r="H222" s="13">
        <v>1</v>
      </c>
      <c r="I222" s="13">
        <v>1</v>
      </c>
      <c r="J222" s="13" t="s">
        <v>54</v>
      </c>
      <c r="K222" s="13">
        <v>1</v>
      </c>
      <c r="L222" s="14">
        <v>0</v>
      </c>
    </row>
    <row r="223" spans="1:12" x14ac:dyDescent="0.3">
      <c r="A223" s="9" t="s">
        <v>26</v>
      </c>
      <c r="B223" s="10" t="s">
        <v>119</v>
      </c>
      <c r="C223" s="10">
        <v>88</v>
      </c>
      <c r="D223" s="10"/>
      <c r="E223" s="10" t="s">
        <v>54</v>
      </c>
      <c r="F223" s="10">
        <v>1</v>
      </c>
      <c r="G223" s="10">
        <v>1</v>
      </c>
      <c r="H223" s="10">
        <v>1</v>
      </c>
      <c r="I223" s="10">
        <v>1</v>
      </c>
      <c r="J223" s="10" t="s">
        <v>54</v>
      </c>
      <c r="K223" s="10">
        <v>1</v>
      </c>
      <c r="L223" s="11">
        <v>0</v>
      </c>
    </row>
    <row r="224" spans="1:12" x14ac:dyDescent="0.3">
      <c r="A224" s="12" t="s">
        <v>26</v>
      </c>
      <c r="B224" s="13" t="s">
        <v>130</v>
      </c>
      <c r="C224" s="13">
        <v>44</v>
      </c>
      <c r="D224" s="13"/>
      <c r="E224" s="13" t="s">
        <v>54</v>
      </c>
      <c r="F224" s="13">
        <v>1</v>
      </c>
      <c r="G224" s="13">
        <v>1</v>
      </c>
      <c r="H224" s="13">
        <v>1</v>
      </c>
      <c r="I224" s="13">
        <v>1</v>
      </c>
      <c r="J224" s="13" t="s">
        <v>246</v>
      </c>
      <c r="K224" s="13">
        <v>2</v>
      </c>
      <c r="L224" s="14">
        <v>-1</v>
      </c>
    </row>
    <row r="225" spans="1:12" x14ac:dyDescent="0.3">
      <c r="A225" s="9" t="s">
        <v>26</v>
      </c>
      <c r="B225" s="10" t="s">
        <v>56</v>
      </c>
      <c r="C225" s="10">
        <v>150</v>
      </c>
      <c r="D225" s="10"/>
      <c r="E225" s="10" t="s">
        <v>54</v>
      </c>
      <c r="F225" s="10">
        <v>1</v>
      </c>
      <c r="G225" s="10">
        <v>1</v>
      </c>
      <c r="H225" s="10">
        <v>1</v>
      </c>
      <c r="I225" s="10">
        <v>1</v>
      </c>
      <c r="J225" s="10" t="s">
        <v>54</v>
      </c>
      <c r="K225" s="10">
        <v>1</v>
      </c>
      <c r="L225" s="11">
        <v>0</v>
      </c>
    </row>
    <row r="226" spans="1:12" x14ac:dyDescent="0.3">
      <c r="A226" s="12" t="s">
        <v>26</v>
      </c>
      <c r="B226" s="13" t="s">
        <v>178</v>
      </c>
      <c r="C226" s="13">
        <v>73</v>
      </c>
      <c r="D226" s="13"/>
      <c r="E226" s="13" t="s">
        <v>54</v>
      </c>
      <c r="F226" s="13">
        <v>1</v>
      </c>
      <c r="G226" s="13">
        <v>1</v>
      </c>
      <c r="H226" s="13">
        <v>1</v>
      </c>
      <c r="I226" s="13">
        <v>1</v>
      </c>
      <c r="J226" s="13" t="s">
        <v>54</v>
      </c>
      <c r="K226" s="13">
        <v>1</v>
      </c>
      <c r="L226" s="14">
        <v>0</v>
      </c>
    </row>
    <row r="227" spans="1:12" x14ac:dyDescent="0.3">
      <c r="A227" s="9" t="s">
        <v>26</v>
      </c>
      <c r="B227" s="10" t="s">
        <v>352</v>
      </c>
      <c r="C227" s="10">
        <v>226</v>
      </c>
      <c r="D227" s="10"/>
      <c r="E227" s="10" t="s">
        <v>54</v>
      </c>
      <c r="F227" s="10">
        <v>1</v>
      </c>
      <c r="G227" s="10">
        <v>1</v>
      </c>
      <c r="H227" s="10">
        <v>1</v>
      </c>
      <c r="I227" s="10">
        <v>1</v>
      </c>
      <c r="J227" s="10" t="s">
        <v>54</v>
      </c>
      <c r="K227" s="10">
        <v>1</v>
      </c>
      <c r="L227" s="11">
        <v>0</v>
      </c>
    </row>
    <row r="228" spans="1:12" x14ac:dyDescent="0.3">
      <c r="A228" s="12" t="s">
        <v>26</v>
      </c>
      <c r="B228" s="13" t="s">
        <v>101</v>
      </c>
      <c r="C228" s="13">
        <v>89</v>
      </c>
      <c r="D228" s="13"/>
      <c r="E228" s="13" t="s">
        <v>54</v>
      </c>
      <c r="F228" s="13">
        <v>1</v>
      </c>
      <c r="G228" s="13">
        <v>1</v>
      </c>
      <c r="H228" s="13">
        <v>1</v>
      </c>
      <c r="I228" s="13">
        <v>1</v>
      </c>
      <c r="J228" s="13" t="s">
        <v>54</v>
      </c>
      <c r="K228" s="13">
        <v>1</v>
      </c>
      <c r="L228" s="14">
        <v>0</v>
      </c>
    </row>
    <row r="229" spans="1:12" x14ac:dyDescent="0.3">
      <c r="A229" s="9" t="s">
        <v>26</v>
      </c>
      <c r="B229" s="10" t="s">
        <v>91</v>
      </c>
      <c r="C229" s="10">
        <v>18</v>
      </c>
      <c r="D229" s="10">
        <v>18</v>
      </c>
      <c r="E229" s="10" t="s">
        <v>54</v>
      </c>
      <c r="F229" s="10">
        <v>1</v>
      </c>
      <c r="G229" s="10">
        <v>1</v>
      </c>
      <c r="H229" s="10">
        <v>1</v>
      </c>
      <c r="I229" s="10">
        <v>1</v>
      </c>
      <c r="J229" s="10" t="s">
        <v>279</v>
      </c>
      <c r="K229" s="10">
        <v>3</v>
      </c>
      <c r="L229" s="11">
        <v>-2</v>
      </c>
    </row>
    <row r="230" spans="1:12" x14ac:dyDescent="0.3">
      <c r="A230" s="12" t="s">
        <v>26</v>
      </c>
      <c r="B230" s="13" t="s">
        <v>190</v>
      </c>
      <c r="C230" s="13">
        <v>40</v>
      </c>
      <c r="D230" s="13"/>
      <c r="E230" s="13" t="s">
        <v>54</v>
      </c>
      <c r="F230" s="13">
        <v>1</v>
      </c>
      <c r="G230" s="13">
        <v>1</v>
      </c>
      <c r="H230" s="13">
        <v>1</v>
      </c>
      <c r="I230" s="13">
        <v>1</v>
      </c>
      <c r="J230" s="13" t="s">
        <v>246</v>
      </c>
      <c r="K230" s="13">
        <v>2</v>
      </c>
      <c r="L230" s="14">
        <v>-1</v>
      </c>
    </row>
    <row r="231" spans="1:12" x14ac:dyDescent="0.3">
      <c r="A231" s="9" t="s">
        <v>26</v>
      </c>
      <c r="B231" s="10" t="s">
        <v>64</v>
      </c>
      <c r="C231" s="10">
        <v>55</v>
      </c>
      <c r="D231" s="10"/>
      <c r="E231" s="10" t="s">
        <v>54</v>
      </c>
      <c r="F231" s="10">
        <v>1</v>
      </c>
      <c r="G231" s="10">
        <v>1</v>
      </c>
      <c r="H231" s="10">
        <v>1</v>
      </c>
      <c r="I231" s="10">
        <v>1</v>
      </c>
      <c r="J231" s="10" t="s">
        <v>246</v>
      </c>
      <c r="K231" s="10">
        <v>2</v>
      </c>
      <c r="L231" s="11">
        <v>-1</v>
      </c>
    </row>
    <row r="232" spans="1:12" x14ac:dyDescent="0.3">
      <c r="A232" s="12" t="s">
        <v>26</v>
      </c>
      <c r="B232" s="13" t="s">
        <v>159</v>
      </c>
      <c r="C232" s="13">
        <v>21</v>
      </c>
      <c r="D232" s="13">
        <v>21</v>
      </c>
      <c r="E232" s="13" t="s">
        <v>54</v>
      </c>
      <c r="F232" s="13">
        <v>1</v>
      </c>
      <c r="G232" s="13">
        <v>1</v>
      </c>
      <c r="H232" s="13">
        <v>1</v>
      </c>
      <c r="I232" s="13">
        <v>1</v>
      </c>
      <c r="J232" s="13" t="s">
        <v>279</v>
      </c>
      <c r="K232" s="13">
        <v>3</v>
      </c>
      <c r="L232" s="14">
        <v>-2</v>
      </c>
    </row>
    <row r="233" spans="1:12" x14ac:dyDescent="0.3">
      <c r="A233" s="9" t="s">
        <v>26</v>
      </c>
      <c r="B233" s="10" t="s">
        <v>240</v>
      </c>
      <c r="C233" s="10">
        <v>48</v>
      </c>
      <c r="D233" s="10"/>
      <c r="E233" s="10" t="s">
        <v>54</v>
      </c>
      <c r="F233" s="10">
        <v>1</v>
      </c>
      <c r="G233" s="10">
        <v>1</v>
      </c>
      <c r="H233" s="10">
        <v>1</v>
      </c>
      <c r="I233" s="10">
        <v>1</v>
      </c>
      <c r="J233" s="10" t="s">
        <v>246</v>
      </c>
      <c r="K233" s="10">
        <v>2</v>
      </c>
      <c r="L233" s="11">
        <v>-1</v>
      </c>
    </row>
    <row r="234" spans="1:12" x14ac:dyDescent="0.3">
      <c r="A234" s="12" t="s">
        <v>26</v>
      </c>
      <c r="B234" s="13" t="s">
        <v>241</v>
      </c>
      <c r="C234" s="13">
        <v>45</v>
      </c>
      <c r="D234" s="13"/>
      <c r="E234" s="13" t="s">
        <v>54</v>
      </c>
      <c r="F234" s="13">
        <v>1</v>
      </c>
      <c r="G234" s="13">
        <v>1</v>
      </c>
      <c r="H234" s="13">
        <v>1</v>
      </c>
      <c r="I234" s="13">
        <v>1</v>
      </c>
      <c r="J234" s="13" t="s">
        <v>246</v>
      </c>
      <c r="K234" s="13">
        <v>2</v>
      </c>
      <c r="L234" s="14">
        <v>-1</v>
      </c>
    </row>
    <row r="235" spans="1:12" x14ac:dyDescent="0.3">
      <c r="A235" s="9" t="s">
        <v>26</v>
      </c>
      <c r="B235" s="10" t="s">
        <v>180</v>
      </c>
      <c r="C235" s="10">
        <v>78</v>
      </c>
      <c r="D235" s="10"/>
      <c r="E235" s="10" t="s">
        <v>54</v>
      </c>
      <c r="F235" s="10">
        <v>1</v>
      </c>
      <c r="G235" s="10">
        <v>1</v>
      </c>
      <c r="H235" s="10">
        <v>1</v>
      </c>
      <c r="I235" s="10">
        <v>1</v>
      </c>
      <c r="J235" s="10" t="s">
        <v>54</v>
      </c>
      <c r="K235" s="10">
        <v>1</v>
      </c>
      <c r="L235" s="11">
        <v>0</v>
      </c>
    </row>
    <row r="236" spans="1:12" x14ac:dyDescent="0.3">
      <c r="A236" s="12" t="s">
        <v>26</v>
      </c>
      <c r="B236" s="13" t="s">
        <v>353</v>
      </c>
      <c r="C236" s="13">
        <v>874</v>
      </c>
      <c r="D236" s="13"/>
      <c r="E236" s="13" t="s">
        <v>54</v>
      </c>
      <c r="F236" s="13">
        <v>1</v>
      </c>
      <c r="G236" s="13">
        <v>1</v>
      </c>
      <c r="H236" s="13">
        <v>1</v>
      </c>
      <c r="I236" s="13">
        <v>1</v>
      </c>
      <c r="J236" s="13" t="s">
        <v>54</v>
      </c>
      <c r="K236" s="13">
        <v>1</v>
      </c>
      <c r="L236" s="14">
        <v>0</v>
      </c>
    </row>
    <row r="237" spans="1:12" x14ac:dyDescent="0.3">
      <c r="A237" s="9" t="s">
        <v>26</v>
      </c>
      <c r="B237" s="10" t="s">
        <v>116</v>
      </c>
      <c r="C237" s="10">
        <v>29</v>
      </c>
      <c r="D237" s="10">
        <v>28</v>
      </c>
      <c r="E237" s="10" t="s">
        <v>54</v>
      </c>
      <c r="F237" s="10">
        <v>1</v>
      </c>
      <c r="G237" s="10">
        <v>1</v>
      </c>
      <c r="H237" s="10">
        <v>1</v>
      </c>
      <c r="I237" s="10">
        <v>1</v>
      </c>
      <c r="J237" s="10" t="s">
        <v>279</v>
      </c>
      <c r="K237" s="10">
        <v>3</v>
      </c>
      <c r="L237" s="11">
        <v>-2</v>
      </c>
    </row>
    <row r="238" spans="1:12" x14ac:dyDescent="0.3">
      <c r="A238" s="12" t="s">
        <v>26</v>
      </c>
      <c r="B238" s="13" t="s">
        <v>207</v>
      </c>
      <c r="C238" s="13">
        <v>30</v>
      </c>
      <c r="D238" s="13">
        <v>29</v>
      </c>
      <c r="E238" s="13" t="s">
        <v>54</v>
      </c>
      <c r="F238" s="13">
        <v>1</v>
      </c>
      <c r="G238" s="13">
        <v>1</v>
      </c>
      <c r="H238" s="13">
        <v>1</v>
      </c>
      <c r="I238" s="13">
        <v>1</v>
      </c>
      <c r="J238" s="13" t="s">
        <v>279</v>
      </c>
      <c r="K238" s="13">
        <v>3</v>
      </c>
      <c r="L238" s="14">
        <v>-2</v>
      </c>
    </row>
    <row r="239" spans="1:12" x14ac:dyDescent="0.3">
      <c r="A239" s="9" t="s">
        <v>26</v>
      </c>
      <c r="B239" s="10" t="s">
        <v>67</v>
      </c>
      <c r="C239" s="10">
        <v>31</v>
      </c>
      <c r="D239" s="10">
        <v>30</v>
      </c>
      <c r="E239" s="10" t="s">
        <v>54</v>
      </c>
      <c r="F239" s="10">
        <v>1</v>
      </c>
      <c r="G239" s="10">
        <v>1</v>
      </c>
      <c r="H239" s="10">
        <v>1</v>
      </c>
      <c r="I239" s="10">
        <v>1</v>
      </c>
      <c r="J239" s="10" t="s">
        <v>279</v>
      </c>
      <c r="K239" s="10">
        <v>3</v>
      </c>
      <c r="L239" s="11">
        <v>-2</v>
      </c>
    </row>
    <row r="240" spans="1:12" x14ac:dyDescent="0.3">
      <c r="A240" s="12" t="s">
        <v>26</v>
      </c>
      <c r="B240" s="13" t="s">
        <v>168</v>
      </c>
      <c r="C240" s="13">
        <v>60</v>
      </c>
      <c r="D240" s="13"/>
      <c r="E240" s="13" t="s">
        <v>54</v>
      </c>
      <c r="F240" s="13">
        <v>1</v>
      </c>
      <c r="G240" s="13">
        <v>1</v>
      </c>
      <c r="H240" s="13">
        <v>1</v>
      </c>
      <c r="I240" s="13">
        <v>1</v>
      </c>
      <c r="J240" s="13" t="s">
        <v>246</v>
      </c>
      <c r="K240" s="13">
        <v>2</v>
      </c>
      <c r="L240" s="14">
        <v>-1</v>
      </c>
    </row>
    <row r="241" spans="1:12" x14ac:dyDescent="0.3">
      <c r="A241" s="9" t="s">
        <v>26</v>
      </c>
      <c r="B241" s="10" t="s">
        <v>95</v>
      </c>
      <c r="C241" s="10">
        <v>49</v>
      </c>
      <c r="D241" s="10"/>
      <c r="E241" s="10" t="s">
        <v>54</v>
      </c>
      <c r="F241" s="10">
        <v>1</v>
      </c>
      <c r="G241" s="10">
        <v>1</v>
      </c>
      <c r="H241" s="10">
        <v>1</v>
      </c>
      <c r="I241" s="10">
        <v>1</v>
      </c>
      <c r="J241" s="10" t="s">
        <v>246</v>
      </c>
      <c r="K241" s="10">
        <v>2</v>
      </c>
      <c r="L241" s="11">
        <v>-1</v>
      </c>
    </row>
    <row r="242" spans="1:12" x14ac:dyDescent="0.3">
      <c r="A242" s="12" t="s">
        <v>26</v>
      </c>
      <c r="B242" s="13" t="s">
        <v>79</v>
      </c>
      <c r="C242" s="13">
        <v>33</v>
      </c>
      <c r="D242" s="13">
        <v>32</v>
      </c>
      <c r="E242" s="13" t="s">
        <v>54</v>
      </c>
      <c r="F242" s="13">
        <v>1</v>
      </c>
      <c r="G242" s="13">
        <v>1</v>
      </c>
      <c r="H242" s="13">
        <v>1</v>
      </c>
      <c r="I242" s="13">
        <v>1</v>
      </c>
      <c r="J242" s="13" t="s">
        <v>246</v>
      </c>
      <c r="K242" s="13">
        <v>2</v>
      </c>
      <c r="L242" s="14">
        <v>-1</v>
      </c>
    </row>
    <row r="243" spans="1:12" x14ac:dyDescent="0.3">
      <c r="A243" s="9" t="s">
        <v>26</v>
      </c>
      <c r="B243" s="10" t="s">
        <v>354</v>
      </c>
      <c r="C243" s="10">
        <v>151</v>
      </c>
      <c r="D243" s="10"/>
      <c r="E243" s="10" t="s">
        <v>54</v>
      </c>
      <c r="F243" s="10">
        <v>1</v>
      </c>
      <c r="G243" s="10">
        <v>1</v>
      </c>
      <c r="H243" s="10">
        <v>1</v>
      </c>
      <c r="I243" s="10">
        <v>1</v>
      </c>
      <c r="J243" s="10" t="s">
        <v>54</v>
      </c>
      <c r="K243" s="10">
        <v>1</v>
      </c>
      <c r="L243" s="11">
        <v>0</v>
      </c>
    </row>
    <row r="244" spans="1:12" x14ac:dyDescent="0.3">
      <c r="A244" s="12" t="s">
        <v>26</v>
      </c>
      <c r="B244" s="13" t="s">
        <v>153</v>
      </c>
      <c r="C244" s="13">
        <v>115</v>
      </c>
      <c r="D244" s="13"/>
      <c r="E244" s="13" t="s">
        <v>54</v>
      </c>
      <c r="F244" s="13">
        <v>1</v>
      </c>
      <c r="G244" s="13">
        <v>1</v>
      </c>
      <c r="H244" s="13">
        <v>1</v>
      </c>
      <c r="I244" s="13">
        <v>1</v>
      </c>
      <c r="J244" s="13" t="s">
        <v>54</v>
      </c>
      <c r="K244" s="13">
        <v>1</v>
      </c>
      <c r="L244" s="14">
        <v>0</v>
      </c>
    </row>
    <row r="245" spans="1:12" x14ac:dyDescent="0.3">
      <c r="A245" s="9" t="s">
        <v>26</v>
      </c>
      <c r="B245" s="10" t="s">
        <v>110</v>
      </c>
      <c r="C245" s="10">
        <v>64</v>
      </c>
      <c r="D245" s="10"/>
      <c r="E245" s="10" t="s">
        <v>54</v>
      </c>
      <c r="F245" s="10">
        <v>1</v>
      </c>
      <c r="G245" s="10">
        <v>1</v>
      </c>
      <c r="H245" s="10">
        <v>1</v>
      </c>
      <c r="I245" s="10">
        <v>1</v>
      </c>
      <c r="J245" s="10" t="s">
        <v>246</v>
      </c>
      <c r="K245" s="10">
        <v>2</v>
      </c>
      <c r="L245" s="11">
        <v>-1</v>
      </c>
    </row>
    <row r="246" spans="1:12" x14ac:dyDescent="0.3">
      <c r="A246" s="12" t="s">
        <v>26</v>
      </c>
      <c r="B246" s="13" t="s">
        <v>171</v>
      </c>
      <c r="C246" s="13">
        <v>140</v>
      </c>
      <c r="D246" s="13"/>
      <c r="E246" s="13" t="s">
        <v>54</v>
      </c>
      <c r="F246" s="13">
        <v>1</v>
      </c>
      <c r="G246" s="13">
        <v>1</v>
      </c>
      <c r="H246" s="13">
        <v>1</v>
      </c>
      <c r="I246" s="13">
        <v>1</v>
      </c>
      <c r="J246" s="13" t="s">
        <v>54</v>
      </c>
      <c r="K246" s="13">
        <v>1</v>
      </c>
      <c r="L246" s="14">
        <v>0</v>
      </c>
    </row>
    <row r="247" spans="1:12" x14ac:dyDescent="0.3">
      <c r="A247" s="9" t="s">
        <v>26</v>
      </c>
      <c r="B247" s="10" t="s">
        <v>355</v>
      </c>
      <c r="C247" s="10">
        <v>131</v>
      </c>
      <c r="D247" s="10"/>
      <c r="E247" s="10" t="s">
        <v>54</v>
      </c>
      <c r="F247" s="10">
        <v>1</v>
      </c>
      <c r="G247" s="10">
        <v>1</v>
      </c>
      <c r="H247" s="10">
        <v>1</v>
      </c>
      <c r="I247" s="10">
        <v>1</v>
      </c>
      <c r="J247" s="10" t="s">
        <v>54</v>
      </c>
      <c r="K247" s="10">
        <v>1</v>
      </c>
      <c r="L247" s="11">
        <v>0</v>
      </c>
    </row>
    <row r="248" spans="1:12" x14ac:dyDescent="0.3">
      <c r="A248" s="12" t="s">
        <v>26</v>
      </c>
      <c r="B248" s="13" t="s">
        <v>58</v>
      </c>
      <c r="C248" s="13">
        <v>127</v>
      </c>
      <c r="D248" s="13"/>
      <c r="E248" s="13" t="s">
        <v>54</v>
      </c>
      <c r="F248" s="13">
        <v>1</v>
      </c>
      <c r="G248" s="13">
        <v>1</v>
      </c>
      <c r="H248" s="13">
        <v>1</v>
      </c>
      <c r="I248" s="13">
        <v>1</v>
      </c>
      <c r="J248" s="13" t="s">
        <v>54</v>
      </c>
      <c r="K248" s="13">
        <v>1</v>
      </c>
      <c r="L248" s="14">
        <v>0</v>
      </c>
    </row>
    <row r="249" spans="1:12" x14ac:dyDescent="0.3">
      <c r="A249" s="9" t="s">
        <v>26</v>
      </c>
      <c r="B249" s="10" t="s">
        <v>356</v>
      </c>
      <c r="C249" s="10">
        <v>221</v>
      </c>
      <c r="D249" s="10"/>
      <c r="E249" s="10" t="s">
        <v>54</v>
      </c>
      <c r="F249" s="10">
        <v>1</v>
      </c>
      <c r="G249" s="10">
        <v>1</v>
      </c>
      <c r="H249" s="10">
        <v>1</v>
      </c>
      <c r="I249" s="10">
        <v>1</v>
      </c>
      <c r="J249" s="10" t="s">
        <v>54</v>
      </c>
      <c r="K249" s="10">
        <v>1</v>
      </c>
      <c r="L249" s="11">
        <v>0</v>
      </c>
    </row>
    <row r="250" spans="1:12" x14ac:dyDescent="0.3">
      <c r="A250" s="12" t="s">
        <v>26</v>
      </c>
      <c r="B250" s="13" t="s">
        <v>357</v>
      </c>
      <c r="C250" s="13">
        <v>120</v>
      </c>
      <c r="D250" s="13"/>
      <c r="E250" s="13" t="s">
        <v>54</v>
      </c>
      <c r="F250" s="13">
        <v>1</v>
      </c>
      <c r="G250" s="13">
        <v>1</v>
      </c>
      <c r="H250" s="13">
        <v>1</v>
      </c>
      <c r="I250" s="13">
        <v>1</v>
      </c>
      <c r="J250" s="13" t="s">
        <v>54</v>
      </c>
      <c r="K250" s="13">
        <v>1</v>
      </c>
      <c r="L250" s="14">
        <v>0</v>
      </c>
    </row>
    <row r="251" spans="1:12" x14ac:dyDescent="0.3">
      <c r="A251" s="9" t="s">
        <v>26</v>
      </c>
      <c r="B251" s="10" t="s">
        <v>358</v>
      </c>
      <c r="C251" s="10">
        <v>121</v>
      </c>
      <c r="D251" s="10"/>
      <c r="E251" s="10" t="s">
        <v>54</v>
      </c>
      <c r="F251" s="10">
        <v>1</v>
      </c>
      <c r="G251" s="10">
        <v>1</v>
      </c>
      <c r="H251" s="10">
        <v>1</v>
      </c>
      <c r="I251" s="10">
        <v>1</v>
      </c>
      <c r="J251" s="10" t="s">
        <v>54</v>
      </c>
      <c r="K251" s="10">
        <v>1</v>
      </c>
      <c r="L251" s="11">
        <v>0</v>
      </c>
    </row>
    <row r="252" spans="1:12" x14ac:dyDescent="0.3">
      <c r="A252" s="12" t="s">
        <v>26</v>
      </c>
      <c r="B252" s="13" t="s">
        <v>359</v>
      </c>
      <c r="C252" s="13">
        <v>193</v>
      </c>
      <c r="D252" s="13"/>
      <c r="E252" s="13" t="s">
        <v>54</v>
      </c>
      <c r="F252" s="13">
        <v>1</v>
      </c>
      <c r="G252" s="13">
        <v>1</v>
      </c>
      <c r="H252" s="13">
        <v>1</v>
      </c>
      <c r="I252" s="13">
        <v>1</v>
      </c>
      <c r="J252" s="13" t="s">
        <v>54</v>
      </c>
      <c r="K252" s="13">
        <v>1</v>
      </c>
      <c r="L252" s="14">
        <v>0</v>
      </c>
    </row>
    <row r="253" spans="1:12" x14ac:dyDescent="0.3">
      <c r="A253" s="9" t="s">
        <v>26</v>
      </c>
      <c r="B253" s="10" t="s">
        <v>360</v>
      </c>
      <c r="C253" s="10">
        <v>80</v>
      </c>
      <c r="D253" s="10"/>
      <c r="E253" s="10" t="s">
        <v>54</v>
      </c>
      <c r="F253" s="10">
        <v>1</v>
      </c>
      <c r="G253" s="10">
        <v>1</v>
      </c>
      <c r="H253" s="10">
        <v>1</v>
      </c>
      <c r="I253" s="10">
        <v>1</v>
      </c>
      <c r="J253" s="10" t="s">
        <v>54</v>
      </c>
      <c r="K253" s="10">
        <v>1</v>
      </c>
      <c r="L253" s="11">
        <v>0</v>
      </c>
    </row>
    <row r="254" spans="1:12" x14ac:dyDescent="0.3">
      <c r="A254" s="12" t="s">
        <v>26</v>
      </c>
      <c r="B254" s="13" t="s">
        <v>235</v>
      </c>
      <c r="C254" s="13">
        <v>36</v>
      </c>
      <c r="D254" s="13"/>
      <c r="E254" s="13" t="s">
        <v>54</v>
      </c>
      <c r="F254" s="13">
        <v>1</v>
      </c>
      <c r="G254" s="13">
        <v>1</v>
      </c>
      <c r="H254" s="13">
        <v>1</v>
      </c>
      <c r="I254" s="13">
        <v>1</v>
      </c>
      <c r="J254" s="13" t="s">
        <v>246</v>
      </c>
      <c r="K254" s="13">
        <v>2</v>
      </c>
      <c r="L254" s="14">
        <v>-1</v>
      </c>
    </row>
    <row r="255" spans="1:12" x14ac:dyDescent="0.3">
      <c r="A255" s="9" t="s">
        <v>26</v>
      </c>
      <c r="B255" s="10" t="s">
        <v>145</v>
      </c>
      <c r="C255" s="10">
        <v>52</v>
      </c>
      <c r="D255" s="10"/>
      <c r="E255" s="10" t="s">
        <v>54</v>
      </c>
      <c r="F255" s="10">
        <v>1</v>
      </c>
      <c r="G255" s="10">
        <v>1</v>
      </c>
      <c r="H255" s="10">
        <v>1</v>
      </c>
      <c r="I255" s="10">
        <v>1</v>
      </c>
      <c r="J255" s="10" t="s">
        <v>246</v>
      </c>
      <c r="K255" s="10">
        <v>2</v>
      </c>
      <c r="L255" s="11">
        <v>-1</v>
      </c>
    </row>
    <row r="256" spans="1:12" x14ac:dyDescent="0.3">
      <c r="A256" s="12" t="s">
        <v>26</v>
      </c>
      <c r="B256" s="13" t="s">
        <v>86</v>
      </c>
      <c r="C256" s="13">
        <v>94</v>
      </c>
      <c r="D256" s="13"/>
      <c r="E256" s="13" t="s">
        <v>54</v>
      </c>
      <c r="F256" s="13">
        <v>1</v>
      </c>
      <c r="G256" s="13">
        <v>1</v>
      </c>
      <c r="H256" s="13">
        <v>1</v>
      </c>
      <c r="I256" s="13">
        <v>1</v>
      </c>
      <c r="J256" s="13" t="s">
        <v>54</v>
      </c>
      <c r="K256" s="13">
        <v>1</v>
      </c>
      <c r="L256" s="14">
        <v>0</v>
      </c>
    </row>
    <row r="257" spans="1:12" x14ac:dyDescent="0.3">
      <c r="A257" s="9" t="s">
        <v>26</v>
      </c>
      <c r="B257" s="10" t="s">
        <v>226</v>
      </c>
      <c r="C257" s="10">
        <v>70</v>
      </c>
      <c r="D257" s="10"/>
      <c r="E257" s="10" t="s">
        <v>54</v>
      </c>
      <c r="F257" s="10">
        <v>1</v>
      </c>
      <c r="G257" s="10">
        <v>1</v>
      </c>
      <c r="H257" s="10">
        <v>1</v>
      </c>
      <c r="I257" s="10">
        <v>1</v>
      </c>
      <c r="J257" s="10" t="s">
        <v>54</v>
      </c>
      <c r="K257" s="10">
        <v>1</v>
      </c>
      <c r="L257" s="11">
        <v>0</v>
      </c>
    </row>
    <row r="258" spans="1:12" x14ac:dyDescent="0.3">
      <c r="A258" s="12" t="s">
        <v>26</v>
      </c>
      <c r="B258" s="13" t="s">
        <v>361</v>
      </c>
      <c r="C258" s="13">
        <v>311</v>
      </c>
      <c r="D258" s="13"/>
      <c r="E258" s="13" t="s">
        <v>54</v>
      </c>
      <c r="F258" s="13">
        <v>1</v>
      </c>
      <c r="G258" s="13">
        <v>1</v>
      </c>
      <c r="H258" s="13">
        <v>1</v>
      </c>
      <c r="I258" s="13">
        <v>1</v>
      </c>
      <c r="J258" s="13" t="s">
        <v>54</v>
      </c>
      <c r="K258" s="13">
        <v>1</v>
      </c>
      <c r="L258" s="14">
        <v>0</v>
      </c>
    </row>
    <row r="259" spans="1:12" x14ac:dyDescent="0.3">
      <c r="A259" s="9" t="s">
        <v>26</v>
      </c>
      <c r="B259" s="10" t="s">
        <v>143</v>
      </c>
      <c r="C259" s="10">
        <v>79</v>
      </c>
      <c r="D259" s="10"/>
      <c r="E259" s="10" t="s">
        <v>54</v>
      </c>
      <c r="F259" s="10">
        <v>1</v>
      </c>
      <c r="G259" s="10">
        <v>1</v>
      </c>
      <c r="H259" s="10">
        <v>1</v>
      </c>
      <c r="I259" s="10">
        <v>1</v>
      </c>
      <c r="J259" s="10" t="s">
        <v>54</v>
      </c>
      <c r="K259" s="10">
        <v>1</v>
      </c>
      <c r="L259" s="11">
        <v>0</v>
      </c>
    </row>
    <row r="260" spans="1:12" x14ac:dyDescent="0.3">
      <c r="A260" s="12" t="s">
        <v>26</v>
      </c>
      <c r="B260" s="13" t="s">
        <v>234</v>
      </c>
      <c r="C260" s="13">
        <v>113</v>
      </c>
      <c r="D260" s="13"/>
      <c r="E260" s="13" t="s">
        <v>54</v>
      </c>
      <c r="F260" s="13">
        <v>1</v>
      </c>
      <c r="G260" s="13">
        <v>1</v>
      </c>
      <c r="H260" s="13">
        <v>1</v>
      </c>
      <c r="I260" s="13">
        <v>1</v>
      </c>
      <c r="J260" s="13" t="s">
        <v>54</v>
      </c>
      <c r="K260" s="13">
        <v>1</v>
      </c>
      <c r="L260" s="14">
        <v>0</v>
      </c>
    </row>
    <row r="261" spans="1:12" x14ac:dyDescent="0.3">
      <c r="A261" s="9" t="s">
        <v>362</v>
      </c>
      <c r="B261" s="10" t="s">
        <v>243</v>
      </c>
      <c r="C261" s="10">
        <v>3</v>
      </c>
      <c r="D261" s="10">
        <v>3</v>
      </c>
      <c r="E261" s="10" t="s">
        <v>54</v>
      </c>
      <c r="F261" s="10">
        <v>1</v>
      </c>
      <c r="G261" s="10">
        <v>1</v>
      </c>
      <c r="H261" s="10">
        <v>0</v>
      </c>
      <c r="I261" s="10">
        <v>1</v>
      </c>
      <c r="J261" s="10" t="s">
        <v>326</v>
      </c>
      <c r="K261" s="10">
        <v>6</v>
      </c>
      <c r="L261" s="11">
        <v>-5</v>
      </c>
    </row>
    <row r="262" spans="1:12" x14ac:dyDescent="0.3">
      <c r="A262" s="12" t="s">
        <v>362</v>
      </c>
      <c r="B262" s="13" t="s">
        <v>55</v>
      </c>
      <c r="C262" s="13">
        <v>1</v>
      </c>
      <c r="D262" s="13">
        <v>1</v>
      </c>
      <c r="E262" s="13" t="s">
        <v>324</v>
      </c>
      <c r="F262" s="13">
        <v>8</v>
      </c>
      <c r="G262" s="13">
        <v>7</v>
      </c>
      <c r="H262" s="13">
        <v>7</v>
      </c>
      <c r="I262" s="13">
        <v>0</v>
      </c>
      <c r="J262" s="13" t="s">
        <v>324</v>
      </c>
      <c r="K262" s="13">
        <v>7</v>
      </c>
      <c r="L262" s="14">
        <v>1</v>
      </c>
    </row>
    <row r="263" spans="1:12" x14ac:dyDescent="0.3">
      <c r="A263" s="9" t="s">
        <v>362</v>
      </c>
      <c r="B263" s="10" t="s">
        <v>86</v>
      </c>
      <c r="C263" s="10">
        <v>94</v>
      </c>
      <c r="D263" s="10"/>
      <c r="E263" s="10" t="s">
        <v>54</v>
      </c>
      <c r="F263" s="10">
        <v>1</v>
      </c>
      <c r="G263" s="10">
        <v>1</v>
      </c>
      <c r="H263" s="10">
        <v>0</v>
      </c>
      <c r="I263" s="10">
        <v>1</v>
      </c>
      <c r="J263" s="10" t="s">
        <v>54</v>
      </c>
      <c r="K263" s="10">
        <v>1</v>
      </c>
      <c r="L263" s="11">
        <v>0</v>
      </c>
    </row>
    <row r="264" spans="1:12" x14ac:dyDescent="0.3">
      <c r="A264" s="12" t="s">
        <v>362</v>
      </c>
      <c r="B264" s="13" t="s">
        <v>172</v>
      </c>
      <c r="C264" s="13">
        <v>21</v>
      </c>
      <c r="D264" s="13">
        <v>19</v>
      </c>
      <c r="E264" s="13" t="s">
        <v>295</v>
      </c>
      <c r="F264" s="13">
        <v>4</v>
      </c>
      <c r="G264" s="13">
        <v>4</v>
      </c>
      <c r="H264" s="13">
        <v>3</v>
      </c>
      <c r="I264" s="13">
        <v>1</v>
      </c>
      <c r="J264" s="13" t="s">
        <v>279</v>
      </c>
      <c r="K264" s="13">
        <v>3</v>
      </c>
      <c r="L264" s="14">
        <v>1</v>
      </c>
    </row>
    <row r="265" spans="1:12" x14ac:dyDescent="0.3">
      <c r="A265" s="9" t="s">
        <v>362</v>
      </c>
      <c r="B265" s="10" t="s">
        <v>180</v>
      </c>
      <c r="C265" s="10">
        <v>80</v>
      </c>
      <c r="D265" s="10"/>
      <c r="E265" s="10" t="s">
        <v>246</v>
      </c>
      <c r="F265" s="10">
        <v>2</v>
      </c>
      <c r="G265" s="10">
        <v>2</v>
      </c>
      <c r="H265" s="10">
        <v>1</v>
      </c>
      <c r="I265" s="10">
        <v>1</v>
      </c>
      <c r="J265" s="10" t="s">
        <v>54</v>
      </c>
      <c r="K265" s="10">
        <v>1</v>
      </c>
      <c r="L265" s="11">
        <v>1</v>
      </c>
    </row>
    <row r="266" spans="1:12" x14ac:dyDescent="0.3">
      <c r="A266" s="12" t="s">
        <v>362</v>
      </c>
      <c r="B266" s="13" t="s">
        <v>363</v>
      </c>
      <c r="C266" s="13">
        <v>96</v>
      </c>
      <c r="D266" s="13"/>
      <c r="E266" s="13" t="s">
        <v>54</v>
      </c>
      <c r="F266" s="13">
        <v>1</v>
      </c>
      <c r="G266" s="13">
        <v>1</v>
      </c>
      <c r="H266" s="13">
        <v>0</v>
      </c>
      <c r="I266" s="13">
        <v>1</v>
      </c>
      <c r="J266" s="13" t="s">
        <v>54</v>
      </c>
      <c r="K266" s="13">
        <v>1</v>
      </c>
      <c r="L266" s="14">
        <v>0</v>
      </c>
    </row>
    <row r="267" spans="1:12" x14ac:dyDescent="0.3">
      <c r="A267" s="9" t="s">
        <v>362</v>
      </c>
      <c r="B267" s="10" t="s">
        <v>112</v>
      </c>
      <c r="C267" s="10">
        <v>42</v>
      </c>
      <c r="D267" s="10"/>
      <c r="E267" s="10" t="s">
        <v>246</v>
      </c>
      <c r="F267" s="10">
        <v>2</v>
      </c>
      <c r="G267" s="10">
        <v>2</v>
      </c>
      <c r="H267" s="10">
        <v>1</v>
      </c>
      <c r="I267" s="10">
        <v>1</v>
      </c>
      <c r="J267" s="10" t="s">
        <v>246</v>
      </c>
      <c r="K267" s="10">
        <v>2</v>
      </c>
      <c r="L267" s="11">
        <v>0</v>
      </c>
    </row>
    <row r="268" spans="1:12" x14ac:dyDescent="0.3">
      <c r="A268" s="12" t="s">
        <v>362</v>
      </c>
      <c r="B268" s="13" t="s">
        <v>240</v>
      </c>
      <c r="C268" s="13">
        <v>52</v>
      </c>
      <c r="D268" s="13"/>
      <c r="E268" s="13" t="s">
        <v>279</v>
      </c>
      <c r="F268" s="13">
        <v>3</v>
      </c>
      <c r="G268" s="13">
        <v>3</v>
      </c>
      <c r="H268" s="13">
        <v>2</v>
      </c>
      <c r="I268" s="13">
        <v>1</v>
      </c>
      <c r="J268" s="13" t="s">
        <v>246</v>
      </c>
      <c r="K268" s="13">
        <v>2</v>
      </c>
      <c r="L268" s="14">
        <v>1</v>
      </c>
    </row>
    <row r="269" spans="1:12" x14ac:dyDescent="0.3">
      <c r="A269" s="9" t="s">
        <v>362</v>
      </c>
      <c r="B269" s="10" t="s">
        <v>364</v>
      </c>
      <c r="C269" s="10">
        <v>302</v>
      </c>
      <c r="D269" s="10"/>
      <c r="E269" s="10" t="s">
        <v>54</v>
      </c>
      <c r="F269" s="10">
        <v>1</v>
      </c>
      <c r="G269" s="10">
        <v>1</v>
      </c>
      <c r="H269" s="10">
        <v>0</v>
      </c>
      <c r="I269" s="10">
        <v>1</v>
      </c>
      <c r="J269" s="10" t="s">
        <v>54</v>
      </c>
      <c r="K269" s="10">
        <v>1</v>
      </c>
      <c r="L269" s="11">
        <v>0</v>
      </c>
    </row>
    <row r="270" spans="1:12" x14ac:dyDescent="0.3">
      <c r="A270" s="12" t="s">
        <v>362</v>
      </c>
      <c r="B270" s="13" t="s">
        <v>150</v>
      </c>
      <c r="C270" s="13">
        <v>6</v>
      </c>
      <c r="D270" s="13">
        <v>6</v>
      </c>
      <c r="E270" s="13" t="s">
        <v>326</v>
      </c>
      <c r="F270" s="13">
        <v>6</v>
      </c>
      <c r="G270" s="13">
        <v>6</v>
      </c>
      <c r="H270" s="13">
        <v>5</v>
      </c>
      <c r="I270" s="13">
        <v>1</v>
      </c>
      <c r="J270" s="13" t="s">
        <v>325</v>
      </c>
      <c r="K270" s="13">
        <v>5</v>
      </c>
      <c r="L270" s="14">
        <v>1</v>
      </c>
    </row>
    <row r="271" spans="1:12" x14ac:dyDescent="0.3">
      <c r="A271" s="9" t="s">
        <v>362</v>
      </c>
      <c r="B271" s="10" t="s">
        <v>175</v>
      </c>
      <c r="C271" s="10">
        <v>91</v>
      </c>
      <c r="D271" s="10"/>
      <c r="E271" s="10" t="s">
        <v>246</v>
      </c>
      <c r="F271" s="10">
        <v>2</v>
      </c>
      <c r="G271" s="10">
        <v>2</v>
      </c>
      <c r="H271" s="10">
        <v>1</v>
      </c>
      <c r="I271" s="10">
        <v>1</v>
      </c>
      <c r="J271" s="10" t="s">
        <v>54</v>
      </c>
      <c r="K271" s="10">
        <v>1</v>
      </c>
      <c r="L271" s="11">
        <v>1</v>
      </c>
    </row>
    <row r="272" spans="1:12" x14ac:dyDescent="0.3">
      <c r="A272" s="12" t="s">
        <v>362</v>
      </c>
      <c r="B272" s="13" t="s">
        <v>121</v>
      </c>
      <c r="C272" s="13">
        <v>29</v>
      </c>
      <c r="D272" s="13">
        <v>27</v>
      </c>
      <c r="E272" s="13" t="s">
        <v>54</v>
      </c>
      <c r="F272" s="13">
        <v>1</v>
      </c>
      <c r="G272" s="13">
        <v>1</v>
      </c>
      <c r="H272" s="13">
        <v>0</v>
      </c>
      <c r="I272" s="13">
        <v>1</v>
      </c>
      <c r="J272" s="13" t="s">
        <v>279</v>
      </c>
      <c r="K272" s="13">
        <v>3</v>
      </c>
      <c r="L272" s="14">
        <v>-2</v>
      </c>
    </row>
    <row r="273" spans="1:12" x14ac:dyDescent="0.3">
      <c r="A273" s="9" t="s">
        <v>362</v>
      </c>
      <c r="B273" s="10" t="s">
        <v>365</v>
      </c>
      <c r="C273" s="10">
        <v>130</v>
      </c>
      <c r="D273" s="10"/>
      <c r="E273" s="10" t="s">
        <v>54</v>
      </c>
      <c r="F273" s="10">
        <v>1</v>
      </c>
      <c r="G273" s="10">
        <v>1</v>
      </c>
      <c r="H273" s="10">
        <v>0</v>
      </c>
      <c r="I273" s="10">
        <v>1</v>
      </c>
      <c r="J273" s="10" t="s">
        <v>54</v>
      </c>
      <c r="K273" s="10">
        <v>1</v>
      </c>
      <c r="L273" s="11">
        <v>0</v>
      </c>
    </row>
    <row r="274" spans="1:12" x14ac:dyDescent="0.3">
      <c r="A274" s="12" t="s">
        <v>362</v>
      </c>
      <c r="B274" s="13" t="s">
        <v>192</v>
      </c>
      <c r="C274" s="13">
        <v>78</v>
      </c>
      <c r="D274" s="13"/>
      <c r="E274" s="13" t="s">
        <v>54</v>
      </c>
      <c r="F274" s="13">
        <v>1</v>
      </c>
      <c r="G274" s="13">
        <v>1</v>
      </c>
      <c r="H274" s="13">
        <v>0</v>
      </c>
      <c r="I274" s="13">
        <v>1</v>
      </c>
      <c r="J274" s="13" t="s">
        <v>54</v>
      </c>
      <c r="K274" s="13">
        <v>1</v>
      </c>
      <c r="L274" s="14">
        <v>0</v>
      </c>
    </row>
    <row r="275" spans="1:12" x14ac:dyDescent="0.3">
      <c r="A275" s="9" t="s">
        <v>362</v>
      </c>
      <c r="B275" s="10" t="s">
        <v>366</v>
      </c>
      <c r="C275" s="10">
        <v>181</v>
      </c>
      <c r="D275" s="10"/>
      <c r="E275" s="10" t="s">
        <v>54</v>
      </c>
      <c r="F275" s="10">
        <v>1</v>
      </c>
      <c r="G275" s="10">
        <v>1</v>
      </c>
      <c r="H275" s="10">
        <v>0</v>
      </c>
      <c r="I275" s="10">
        <v>1</v>
      </c>
      <c r="J275" s="10" t="s">
        <v>54</v>
      </c>
      <c r="K275" s="10">
        <v>1</v>
      </c>
      <c r="L275" s="11">
        <v>0</v>
      </c>
    </row>
    <row r="276" spans="1:12" x14ac:dyDescent="0.3">
      <c r="A276" s="12" t="s">
        <v>362</v>
      </c>
      <c r="B276" s="13" t="s">
        <v>139</v>
      </c>
      <c r="C276" s="13">
        <v>83</v>
      </c>
      <c r="D276" s="13"/>
      <c r="E276" s="13" t="s">
        <v>246</v>
      </c>
      <c r="F276" s="13">
        <v>2</v>
      </c>
      <c r="G276" s="13">
        <v>2</v>
      </c>
      <c r="H276" s="13">
        <v>1</v>
      </c>
      <c r="I276" s="13">
        <v>1</v>
      </c>
      <c r="J276" s="13" t="s">
        <v>54</v>
      </c>
      <c r="K276" s="13">
        <v>1</v>
      </c>
      <c r="L276" s="14">
        <v>1</v>
      </c>
    </row>
    <row r="277" spans="1:12" x14ac:dyDescent="0.3">
      <c r="A277" s="9" t="s">
        <v>362</v>
      </c>
      <c r="B277" s="10" t="s">
        <v>110</v>
      </c>
      <c r="C277" s="10">
        <v>65</v>
      </c>
      <c r="D277" s="10"/>
      <c r="E277" s="10" t="s">
        <v>54</v>
      </c>
      <c r="F277" s="10">
        <v>1</v>
      </c>
      <c r="G277" s="10">
        <v>1</v>
      </c>
      <c r="H277" s="10">
        <v>0</v>
      </c>
      <c r="I277" s="10">
        <v>1</v>
      </c>
      <c r="J277" s="10" t="s">
        <v>54</v>
      </c>
      <c r="K277" s="10">
        <v>1</v>
      </c>
      <c r="L277" s="11">
        <v>0</v>
      </c>
    </row>
    <row r="278" spans="1:12" x14ac:dyDescent="0.3">
      <c r="A278" s="12" t="s">
        <v>362</v>
      </c>
      <c r="B278" s="13" t="s">
        <v>169</v>
      </c>
      <c r="C278" s="13">
        <v>63</v>
      </c>
      <c r="D278" s="13"/>
      <c r="E278" s="13" t="s">
        <v>54</v>
      </c>
      <c r="F278" s="13">
        <v>1</v>
      </c>
      <c r="G278" s="13">
        <v>1</v>
      </c>
      <c r="H278" s="13">
        <v>0</v>
      </c>
      <c r="I278" s="13">
        <v>1</v>
      </c>
      <c r="J278" s="13" t="s">
        <v>246</v>
      </c>
      <c r="K278" s="13">
        <v>2</v>
      </c>
      <c r="L278" s="14">
        <v>-1</v>
      </c>
    </row>
    <row r="279" spans="1:12" x14ac:dyDescent="0.3">
      <c r="A279" s="9" t="s">
        <v>362</v>
      </c>
      <c r="B279" s="10" t="s">
        <v>342</v>
      </c>
      <c r="C279" s="10">
        <v>115</v>
      </c>
      <c r="D279" s="10"/>
      <c r="E279" s="10" t="s">
        <v>279</v>
      </c>
      <c r="F279" s="10">
        <v>3</v>
      </c>
      <c r="G279" s="10">
        <v>3</v>
      </c>
      <c r="H279" s="10">
        <v>2</v>
      </c>
      <c r="I279" s="10">
        <v>1</v>
      </c>
      <c r="J279" s="10" t="s">
        <v>54</v>
      </c>
      <c r="K279" s="10">
        <v>1</v>
      </c>
      <c r="L279" s="11">
        <v>2</v>
      </c>
    </row>
    <row r="280" spans="1:12" x14ac:dyDescent="0.3">
      <c r="A280" s="12" t="s">
        <v>362</v>
      </c>
      <c r="B280" s="13" t="s">
        <v>334</v>
      </c>
      <c r="C280" s="13">
        <v>73</v>
      </c>
      <c r="D280" s="13"/>
      <c r="E280" s="13" t="s">
        <v>54</v>
      </c>
      <c r="F280" s="13">
        <v>1</v>
      </c>
      <c r="G280" s="13">
        <v>1</v>
      </c>
      <c r="H280" s="13">
        <v>0</v>
      </c>
      <c r="I280" s="13">
        <v>1</v>
      </c>
      <c r="J280" s="13" t="s">
        <v>54</v>
      </c>
      <c r="K280" s="13">
        <v>1</v>
      </c>
      <c r="L280" s="14">
        <v>0</v>
      </c>
    </row>
    <row r="281" spans="1:12" x14ac:dyDescent="0.3">
      <c r="A281" s="9" t="s">
        <v>362</v>
      </c>
      <c r="B281" s="10" t="s">
        <v>333</v>
      </c>
      <c r="C281" s="10">
        <v>103</v>
      </c>
      <c r="D281" s="10"/>
      <c r="E281" s="10" t="s">
        <v>279</v>
      </c>
      <c r="F281" s="10">
        <v>3</v>
      </c>
      <c r="G281" s="10">
        <v>3</v>
      </c>
      <c r="H281" s="10">
        <v>2</v>
      </c>
      <c r="I281" s="10">
        <v>1</v>
      </c>
      <c r="J281" s="10" t="s">
        <v>54</v>
      </c>
      <c r="K281" s="10">
        <v>1</v>
      </c>
      <c r="L281" s="11">
        <v>2</v>
      </c>
    </row>
    <row r="282" spans="1:12" x14ac:dyDescent="0.3">
      <c r="A282" s="12" t="s">
        <v>362</v>
      </c>
      <c r="B282" s="13" t="s">
        <v>219</v>
      </c>
      <c r="C282" s="13">
        <v>13</v>
      </c>
      <c r="D282" s="13">
        <v>13</v>
      </c>
      <c r="E282" s="13" t="s">
        <v>246</v>
      </c>
      <c r="F282" s="13">
        <v>2</v>
      </c>
      <c r="G282" s="13">
        <v>2</v>
      </c>
      <c r="H282" s="13">
        <v>1</v>
      </c>
      <c r="I282" s="13">
        <v>1</v>
      </c>
      <c r="J282" s="13" t="s">
        <v>295</v>
      </c>
      <c r="K282" s="13">
        <v>4</v>
      </c>
      <c r="L282" s="14">
        <v>-2</v>
      </c>
    </row>
    <row r="283" spans="1:12" x14ac:dyDescent="0.3">
      <c r="A283" s="9" t="s">
        <v>362</v>
      </c>
      <c r="B283" s="10" t="s">
        <v>367</v>
      </c>
      <c r="C283" s="10">
        <v>236</v>
      </c>
      <c r="D283" s="10"/>
      <c r="E283" s="10" t="s">
        <v>54</v>
      </c>
      <c r="F283" s="10">
        <v>1</v>
      </c>
      <c r="G283" s="10">
        <v>1</v>
      </c>
      <c r="H283" s="10">
        <v>0</v>
      </c>
      <c r="I283" s="10">
        <v>1</v>
      </c>
      <c r="J283" s="10" t="s">
        <v>54</v>
      </c>
      <c r="K283" s="10">
        <v>1</v>
      </c>
      <c r="L283" s="11">
        <v>0</v>
      </c>
    </row>
    <row r="284" spans="1:12" x14ac:dyDescent="0.3">
      <c r="A284" s="12" t="s">
        <v>362</v>
      </c>
      <c r="B284" s="13" t="s">
        <v>122</v>
      </c>
      <c r="C284" s="13">
        <v>43</v>
      </c>
      <c r="D284" s="13"/>
      <c r="E284" s="13" t="s">
        <v>54</v>
      </c>
      <c r="F284" s="13">
        <v>1</v>
      </c>
      <c r="G284" s="13">
        <v>1</v>
      </c>
      <c r="H284" s="13">
        <v>0</v>
      </c>
      <c r="I284" s="13">
        <v>1</v>
      </c>
      <c r="J284" s="13" t="s">
        <v>246</v>
      </c>
      <c r="K284" s="13">
        <v>2</v>
      </c>
      <c r="L284" s="14">
        <v>-1</v>
      </c>
    </row>
    <row r="285" spans="1:12" x14ac:dyDescent="0.3">
      <c r="A285" s="9" t="s">
        <v>362</v>
      </c>
      <c r="B285" s="10" t="s">
        <v>115</v>
      </c>
      <c r="C285" s="10">
        <v>10</v>
      </c>
      <c r="D285" s="10">
        <v>10</v>
      </c>
      <c r="E285" s="10" t="s">
        <v>325</v>
      </c>
      <c r="F285" s="10">
        <v>5</v>
      </c>
      <c r="G285" s="10">
        <v>5</v>
      </c>
      <c r="H285" s="10">
        <v>4</v>
      </c>
      <c r="I285" s="10">
        <v>1</v>
      </c>
      <c r="J285" s="10" t="s">
        <v>295</v>
      </c>
      <c r="K285" s="10">
        <v>4</v>
      </c>
      <c r="L285" s="11">
        <v>1</v>
      </c>
    </row>
    <row r="286" spans="1:12" x14ac:dyDescent="0.3">
      <c r="A286" s="12" t="s">
        <v>362</v>
      </c>
      <c r="B286" s="13" t="s">
        <v>89</v>
      </c>
      <c r="C286" s="13">
        <v>125</v>
      </c>
      <c r="D286" s="13"/>
      <c r="E286" s="13" t="s">
        <v>279</v>
      </c>
      <c r="F286" s="13">
        <v>3</v>
      </c>
      <c r="G286" s="13">
        <v>3</v>
      </c>
      <c r="H286" s="13">
        <v>2</v>
      </c>
      <c r="I286" s="13">
        <v>1</v>
      </c>
      <c r="J286" s="13" t="s">
        <v>54</v>
      </c>
      <c r="K286" s="13">
        <v>1</v>
      </c>
      <c r="L286" s="14">
        <v>2</v>
      </c>
    </row>
    <row r="287" spans="1:12" x14ac:dyDescent="0.3">
      <c r="A287" s="9" t="s">
        <v>362</v>
      </c>
      <c r="B287" s="10" t="s">
        <v>143</v>
      </c>
      <c r="C287" s="10">
        <v>88</v>
      </c>
      <c r="D287" s="10"/>
      <c r="E287" s="10" t="s">
        <v>246</v>
      </c>
      <c r="F287" s="10">
        <v>2</v>
      </c>
      <c r="G287" s="10">
        <v>2</v>
      </c>
      <c r="H287" s="10">
        <v>1</v>
      </c>
      <c r="I287" s="10">
        <v>1</v>
      </c>
      <c r="J287" s="10" t="s">
        <v>54</v>
      </c>
      <c r="K287" s="10">
        <v>1</v>
      </c>
      <c r="L287" s="11">
        <v>1</v>
      </c>
    </row>
    <row r="288" spans="1:12" x14ac:dyDescent="0.3">
      <c r="A288" s="12" t="s">
        <v>362</v>
      </c>
      <c r="B288" s="13" t="s">
        <v>331</v>
      </c>
      <c r="C288" s="13">
        <v>85</v>
      </c>
      <c r="D288" s="13"/>
      <c r="E288" s="13" t="s">
        <v>295</v>
      </c>
      <c r="F288" s="13">
        <v>4</v>
      </c>
      <c r="G288" s="13">
        <v>4</v>
      </c>
      <c r="H288" s="13">
        <v>3</v>
      </c>
      <c r="I288" s="13">
        <v>1</v>
      </c>
      <c r="J288" s="13" t="s">
        <v>54</v>
      </c>
      <c r="K288" s="13">
        <v>1</v>
      </c>
      <c r="L288" s="14">
        <v>3</v>
      </c>
    </row>
    <row r="289" spans="1:12" x14ac:dyDescent="0.3">
      <c r="A289" s="9" t="s">
        <v>362</v>
      </c>
      <c r="B289" s="10" t="s">
        <v>202</v>
      </c>
      <c r="C289" s="10">
        <v>128</v>
      </c>
      <c r="D289" s="10"/>
      <c r="E289" s="10" t="s">
        <v>246</v>
      </c>
      <c r="F289" s="10">
        <v>2</v>
      </c>
      <c r="G289" s="10">
        <v>2</v>
      </c>
      <c r="H289" s="10">
        <v>1</v>
      </c>
      <c r="I289" s="10">
        <v>1</v>
      </c>
      <c r="J289" s="10" t="s">
        <v>54</v>
      </c>
      <c r="K289" s="10">
        <v>1</v>
      </c>
      <c r="L289" s="11">
        <v>1</v>
      </c>
    </row>
    <row r="290" spans="1:12" x14ac:dyDescent="0.3">
      <c r="A290" s="12" t="s">
        <v>362</v>
      </c>
      <c r="B290" s="13" t="s">
        <v>360</v>
      </c>
      <c r="C290" s="13">
        <v>77</v>
      </c>
      <c r="D290" s="13"/>
      <c r="E290" s="13" t="s">
        <v>54</v>
      </c>
      <c r="F290" s="13">
        <v>1</v>
      </c>
      <c r="G290" s="13">
        <v>1</v>
      </c>
      <c r="H290" s="13">
        <v>0</v>
      </c>
      <c r="I290" s="13">
        <v>1</v>
      </c>
      <c r="J290" s="13" t="s">
        <v>54</v>
      </c>
      <c r="K290" s="13">
        <v>1</v>
      </c>
      <c r="L290" s="14">
        <v>0</v>
      </c>
    </row>
    <row r="291" spans="1:12" x14ac:dyDescent="0.3">
      <c r="A291" s="9" t="s">
        <v>362</v>
      </c>
      <c r="B291" s="10" t="s">
        <v>208</v>
      </c>
      <c r="C291" s="10">
        <v>127</v>
      </c>
      <c r="D291" s="10"/>
      <c r="E291" s="10" t="s">
        <v>279</v>
      </c>
      <c r="F291" s="10">
        <v>3</v>
      </c>
      <c r="G291" s="10">
        <v>3</v>
      </c>
      <c r="H291" s="10">
        <v>2</v>
      </c>
      <c r="I291" s="10">
        <v>1</v>
      </c>
      <c r="J291" s="10" t="s">
        <v>54</v>
      </c>
      <c r="K291" s="10">
        <v>1</v>
      </c>
      <c r="L291" s="11">
        <v>2</v>
      </c>
    </row>
    <row r="292" spans="1:12" x14ac:dyDescent="0.3">
      <c r="A292" s="12" t="s">
        <v>362</v>
      </c>
      <c r="B292" s="13" t="s">
        <v>222</v>
      </c>
      <c r="C292" s="13">
        <v>20</v>
      </c>
      <c r="D292" s="13">
        <v>18</v>
      </c>
      <c r="E292" s="13" t="s">
        <v>54</v>
      </c>
      <c r="F292" s="13">
        <v>1</v>
      </c>
      <c r="G292" s="13">
        <v>1</v>
      </c>
      <c r="H292" s="13">
        <v>0</v>
      </c>
      <c r="I292" s="13">
        <v>1</v>
      </c>
      <c r="J292" s="13" t="s">
        <v>279</v>
      </c>
      <c r="K292" s="13">
        <v>3</v>
      </c>
      <c r="L292" s="14">
        <v>-2</v>
      </c>
    </row>
    <row r="293" spans="1:12" x14ac:dyDescent="0.3">
      <c r="A293" s="9" t="s">
        <v>362</v>
      </c>
      <c r="B293" s="10" t="s">
        <v>116</v>
      </c>
      <c r="C293" s="10">
        <v>32</v>
      </c>
      <c r="D293" s="10">
        <v>29</v>
      </c>
      <c r="E293" s="10" t="s">
        <v>279</v>
      </c>
      <c r="F293" s="10">
        <v>3</v>
      </c>
      <c r="G293" s="10">
        <v>3</v>
      </c>
      <c r="H293" s="10">
        <v>2</v>
      </c>
      <c r="I293" s="10">
        <v>1</v>
      </c>
      <c r="J293" s="10" t="s">
        <v>279</v>
      </c>
      <c r="K293" s="10">
        <v>3</v>
      </c>
      <c r="L293" s="11">
        <v>0</v>
      </c>
    </row>
    <row r="294" spans="1:12" x14ac:dyDescent="0.3">
      <c r="A294" s="12" t="s">
        <v>362</v>
      </c>
      <c r="B294" s="13" t="s">
        <v>61</v>
      </c>
      <c r="C294" s="13">
        <v>46</v>
      </c>
      <c r="D294" s="13"/>
      <c r="E294" s="13" t="s">
        <v>246</v>
      </c>
      <c r="F294" s="13">
        <v>2</v>
      </c>
      <c r="G294" s="13">
        <v>2</v>
      </c>
      <c r="H294" s="13">
        <v>1</v>
      </c>
      <c r="I294" s="13">
        <v>1</v>
      </c>
      <c r="J294" s="13" t="s">
        <v>246</v>
      </c>
      <c r="K294" s="13">
        <v>2</v>
      </c>
      <c r="L294" s="14">
        <v>0</v>
      </c>
    </row>
    <row r="295" spans="1:12" x14ac:dyDescent="0.3">
      <c r="A295" s="9" t="s">
        <v>362</v>
      </c>
      <c r="B295" s="10" t="s">
        <v>226</v>
      </c>
      <c r="C295" s="10">
        <v>69</v>
      </c>
      <c r="D295" s="10"/>
      <c r="E295" s="10" t="s">
        <v>54</v>
      </c>
      <c r="F295" s="10">
        <v>1</v>
      </c>
      <c r="G295" s="10">
        <v>1</v>
      </c>
      <c r="H295" s="10">
        <v>0</v>
      </c>
      <c r="I295" s="10">
        <v>1</v>
      </c>
      <c r="J295" s="10" t="s">
        <v>54</v>
      </c>
      <c r="K295" s="10">
        <v>1</v>
      </c>
      <c r="L295" s="11">
        <v>0</v>
      </c>
    </row>
    <row r="296" spans="1:12" x14ac:dyDescent="0.3">
      <c r="A296" s="12" t="s">
        <v>362</v>
      </c>
      <c r="B296" s="13" t="s">
        <v>156</v>
      </c>
      <c r="C296" s="13">
        <v>72</v>
      </c>
      <c r="D296" s="13"/>
      <c r="E296" s="13" t="s">
        <v>246</v>
      </c>
      <c r="F296" s="13">
        <v>2</v>
      </c>
      <c r="G296" s="13">
        <v>2</v>
      </c>
      <c r="H296" s="13">
        <v>1</v>
      </c>
      <c r="I296" s="13">
        <v>1</v>
      </c>
      <c r="J296" s="13" t="s">
        <v>54</v>
      </c>
      <c r="K296" s="13">
        <v>1</v>
      </c>
      <c r="L296" s="14">
        <v>1</v>
      </c>
    </row>
    <row r="297" spans="1:12" x14ac:dyDescent="0.3">
      <c r="A297" s="9" t="s">
        <v>362</v>
      </c>
      <c r="B297" s="10" t="s">
        <v>368</v>
      </c>
      <c r="C297" s="10">
        <v>170</v>
      </c>
      <c r="D297" s="10"/>
      <c r="E297" s="10" t="s">
        <v>246</v>
      </c>
      <c r="F297" s="10">
        <v>2</v>
      </c>
      <c r="G297" s="10">
        <v>2</v>
      </c>
      <c r="H297" s="10">
        <v>1</v>
      </c>
      <c r="I297" s="10">
        <v>1</v>
      </c>
      <c r="J297" s="10" t="s">
        <v>54</v>
      </c>
      <c r="K297" s="10">
        <v>1</v>
      </c>
      <c r="L297" s="11">
        <v>1</v>
      </c>
    </row>
    <row r="298" spans="1:12" x14ac:dyDescent="0.3">
      <c r="A298" s="12" t="s">
        <v>362</v>
      </c>
      <c r="B298" s="13" t="s">
        <v>196</v>
      </c>
      <c r="C298" s="13">
        <v>97</v>
      </c>
      <c r="D298" s="13"/>
      <c r="E298" s="13" t="s">
        <v>54</v>
      </c>
      <c r="F298" s="13">
        <v>1</v>
      </c>
      <c r="G298" s="13">
        <v>1</v>
      </c>
      <c r="H298" s="13">
        <v>0</v>
      </c>
      <c r="I298" s="13">
        <v>1</v>
      </c>
      <c r="J298" s="13" t="s">
        <v>54</v>
      </c>
      <c r="K298" s="13">
        <v>1</v>
      </c>
      <c r="L298" s="14">
        <v>0</v>
      </c>
    </row>
    <row r="299" spans="1:12" x14ac:dyDescent="0.3">
      <c r="A299" s="9" t="s">
        <v>362</v>
      </c>
      <c r="B299" s="10" t="s">
        <v>130</v>
      </c>
      <c r="C299" s="10">
        <v>48</v>
      </c>
      <c r="D299" s="10"/>
      <c r="E299" s="10" t="s">
        <v>295</v>
      </c>
      <c r="F299" s="10">
        <v>4</v>
      </c>
      <c r="G299" s="10">
        <v>4</v>
      </c>
      <c r="H299" s="10">
        <v>3</v>
      </c>
      <c r="I299" s="10">
        <v>1</v>
      </c>
      <c r="J299" s="10" t="s">
        <v>246</v>
      </c>
      <c r="K299" s="10">
        <v>2</v>
      </c>
      <c r="L299" s="11">
        <v>2</v>
      </c>
    </row>
    <row r="300" spans="1:12" x14ac:dyDescent="0.3">
      <c r="A300" s="12" t="s">
        <v>362</v>
      </c>
      <c r="B300" s="13" t="s">
        <v>210</v>
      </c>
      <c r="C300" s="13">
        <v>71</v>
      </c>
      <c r="D300" s="13"/>
      <c r="E300" s="13" t="s">
        <v>54</v>
      </c>
      <c r="F300" s="13">
        <v>1</v>
      </c>
      <c r="G300" s="13">
        <v>1</v>
      </c>
      <c r="H300" s="13">
        <v>0</v>
      </c>
      <c r="I300" s="13">
        <v>1</v>
      </c>
      <c r="J300" s="13" t="s">
        <v>54</v>
      </c>
      <c r="K300" s="13">
        <v>1</v>
      </c>
      <c r="L300" s="14">
        <v>0</v>
      </c>
    </row>
    <row r="301" spans="1:12" x14ac:dyDescent="0.3">
      <c r="A301" s="9" t="s">
        <v>362</v>
      </c>
      <c r="B301" s="10" t="s">
        <v>153</v>
      </c>
      <c r="C301" s="10">
        <v>117</v>
      </c>
      <c r="D301" s="10"/>
      <c r="E301" s="10" t="s">
        <v>54</v>
      </c>
      <c r="F301" s="10">
        <v>1</v>
      </c>
      <c r="G301" s="10">
        <v>1</v>
      </c>
      <c r="H301" s="10">
        <v>0</v>
      </c>
      <c r="I301" s="10">
        <v>1</v>
      </c>
      <c r="J301" s="10" t="s">
        <v>54</v>
      </c>
      <c r="K301" s="10">
        <v>1</v>
      </c>
      <c r="L301" s="11">
        <v>0</v>
      </c>
    </row>
    <row r="302" spans="1:12" x14ac:dyDescent="0.3">
      <c r="A302" s="12" t="s">
        <v>362</v>
      </c>
      <c r="B302" s="13" t="s">
        <v>71</v>
      </c>
      <c r="C302" s="13">
        <v>118</v>
      </c>
      <c r="D302" s="13"/>
      <c r="E302" s="13" t="s">
        <v>54</v>
      </c>
      <c r="F302" s="13">
        <v>1</v>
      </c>
      <c r="G302" s="13">
        <v>1</v>
      </c>
      <c r="H302" s="13">
        <v>0</v>
      </c>
      <c r="I302" s="13">
        <v>1</v>
      </c>
      <c r="J302" s="13" t="s">
        <v>54</v>
      </c>
      <c r="K302" s="13">
        <v>1</v>
      </c>
      <c r="L302" s="14">
        <v>0</v>
      </c>
    </row>
    <row r="303" spans="1:12" x14ac:dyDescent="0.3">
      <c r="A303" s="9" t="s">
        <v>362</v>
      </c>
      <c r="B303" s="10" t="s">
        <v>124</v>
      </c>
      <c r="C303" s="10">
        <v>7</v>
      </c>
      <c r="D303" s="10">
        <v>7</v>
      </c>
      <c r="E303" s="10" t="s">
        <v>54</v>
      </c>
      <c r="F303" s="10">
        <v>1</v>
      </c>
      <c r="G303" s="10">
        <v>1</v>
      </c>
      <c r="H303" s="10">
        <v>0</v>
      </c>
      <c r="I303" s="10">
        <v>1</v>
      </c>
      <c r="J303" s="10" t="s">
        <v>325</v>
      </c>
      <c r="K303" s="10">
        <v>5</v>
      </c>
      <c r="L303" s="11">
        <v>-4</v>
      </c>
    </row>
    <row r="304" spans="1:12" x14ac:dyDescent="0.3">
      <c r="A304" s="12" t="s">
        <v>362</v>
      </c>
      <c r="B304" s="13" t="s">
        <v>174</v>
      </c>
      <c r="C304" s="13">
        <v>4</v>
      </c>
      <c r="D304" s="13">
        <v>4</v>
      </c>
      <c r="E304" s="13" t="s">
        <v>246</v>
      </c>
      <c r="F304" s="13">
        <v>2</v>
      </c>
      <c r="G304" s="13">
        <v>2</v>
      </c>
      <c r="H304" s="13">
        <v>1</v>
      </c>
      <c r="I304" s="13">
        <v>1</v>
      </c>
      <c r="J304" s="13" t="s">
        <v>326</v>
      </c>
      <c r="K304" s="13">
        <v>6</v>
      </c>
      <c r="L304" s="14">
        <v>-4</v>
      </c>
    </row>
    <row r="305" spans="1:12" x14ac:dyDescent="0.3">
      <c r="A305" s="9" t="s">
        <v>362</v>
      </c>
      <c r="B305" s="10" t="s">
        <v>181</v>
      </c>
      <c r="C305" s="10">
        <v>68</v>
      </c>
      <c r="D305" s="10"/>
      <c r="E305" s="10" t="s">
        <v>54</v>
      </c>
      <c r="F305" s="10">
        <v>1</v>
      </c>
      <c r="G305" s="10">
        <v>1</v>
      </c>
      <c r="H305" s="10">
        <v>0</v>
      </c>
      <c r="I305" s="10">
        <v>1</v>
      </c>
      <c r="J305" s="10" t="s">
        <v>54</v>
      </c>
      <c r="K305" s="10">
        <v>1</v>
      </c>
      <c r="L305" s="11">
        <v>0</v>
      </c>
    </row>
    <row r="306" spans="1:12" x14ac:dyDescent="0.3">
      <c r="A306" s="12" t="s">
        <v>362</v>
      </c>
      <c r="B306" s="13" t="s">
        <v>235</v>
      </c>
      <c r="C306" s="13">
        <v>38</v>
      </c>
      <c r="D306" s="13"/>
      <c r="E306" s="13" t="s">
        <v>54</v>
      </c>
      <c r="F306" s="13">
        <v>1</v>
      </c>
      <c r="G306" s="13">
        <v>1</v>
      </c>
      <c r="H306" s="13">
        <v>0</v>
      </c>
      <c r="I306" s="13">
        <v>1</v>
      </c>
      <c r="J306" s="13" t="s">
        <v>246</v>
      </c>
      <c r="K306" s="13">
        <v>2</v>
      </c>
      <c r="L306" s="14">
        <v>-1</v>
      </c>
    </row>
    <row r="307" spans="1:12" x14ac:dyDescent="0.3">
      <c r="A307" s="9" t="s">
        <v>362</v>
      </c>
      <c r="B307" s="10" t="s">
        <v>213</v>
      </c>
      <c r="C307" s="10">
        <v>106</v>
      </c>
      <c r="D307" s="10"/>
      <c r="E307" s="10" t="s">
        <v>54</v>
      </c>
      <c r="F307" s="10">
        <v>1</v>
      </c>
      <c r="G307" s="10">
        <v>1</v>
      </c>
      <c r="H307" s="10">
        <v>0</v>
      </c>
      <c r="I307" s="10">
        <v>1</v>
      </c>
      <c r="J307" s="10" t="s">
        <v>54</v>
      </c>
      <c r="K307" s="10">
        <v>1</v>
      </c>
      <c r="L307" s="11">
        <v>0</v>
      </c>
    </row>
    <row r="308" spans="1:12" x14ac:dyDescent="0.3">
      <c r="A308" s="12" t="s">
        <v>362</v>
      </c>
      <c r="B308" s="13" t="s">
        <v>369</v>
      </c>
      <c r="C308" s="13">
        <v>87</v>
      </c>
      <c r="D308" s="13"/>
      <c r="E308" s="13" t="s">
        <v>54</v>
      </c>
      <c r="F308" s="13">
        <v>1</v>
      </c>
      <c r="G308" s="13">
        <v>1</v>
      </c>
      <c r="H308" s="13">
        <v>0</v>
      </c>
      <c r="I308" s="13">
        <v>1</v>
      </c>
      <c r="J308" s="13" t="s">
        <v>54</v>
      </c>
      <c r="K308" s="13">
        <v>1</v>
      </c>
      <c r="L308" s="14">
        <v>0</v>
      </c>
    </row>
    <row r="309" spans="1:12" x14ac:dyDescent="0.3">
      <c r="A309" s="9" t="s">
        <v>362</v>
      </c>
      <c r="B309" s="10" t="s">
        <v>341</v>
      </c>
      <c r="C309" s="10">
        <v>81</v>
      </c>
      <c r="D309" s="10"/>
      <c r="E309" s="10" t="s">
        <v>54</v>
      </c>
      <c r="F309" s="10">
        <v>1</v>
      </c>
      <c r="G309" s="10">
        <v>1</v>
      </c>
      <c r="H309" s="10">
        <v>0</v>
      </c>
      <c r="I309" s="10">
        <v>1</v>
      </c>
      <c r="J309" s="10" t="s">
        <v>54</v>
      </c>
      <c r="K309" s="10">
        <v>1</v>
      </c>
      <c r="L309" s="11">
        <v>0</v>
      </c>
    </row>
    <row r="310" spans="1:12" x14ac:dyDescent="0.3">
      <c r="A310" s="12" t="s">
        <v>362</v>
      </c>
      <c r="B310" s="13" t="s">
        <v>133</v>
      </c>
      <c r="C310" s="13">
        <v>58</v>
      </c>
      <c r="D310" s="13"/>
      <c r="E310" s="13" t="s">
        <v>246</v>
      </c>
      <c r="F310" s="13">
        <v>2</v>
      </c>
      <c r="G310" s="13">
        <v>2</v>
      </c>
      <c r="H310" s="13">
        <v>1</v>
      </c>
      <c r="I310" s="13">
        <v>1</v>
      </c>
      <c r="J310" s="13" t="s">
        <v>246</v>
      </c>
      <c r="K310" s="13">
        <v>2</v>
      </c>
      <c r="L310" s="14">
        <v>0</v>
      </c>
    </row>
    <row r="311" spans="1:12" x14ac:dyDescent="0.3">
      <c r="A311" s="9" t="s">
        <v>362</v>
      </c>
      <c r="B311" s="10" t="s">
        <v>220</v>
      </c>
      <c r="C311" s="10">
        <v>79</v>
      </c>
      <c r="D311" s="10"/>
      <c r="E311" s="10" t="s">
        <v>54</v>
      </c>
      <c r="F311" s="10">
        <v>1</v>
      </c>
      <c r="G311" s="10">
        <v>1</v>
      </c>
      <c r="H311" s="10">
        <v>0</v>
      </c>
      <c r="I311" s="10">
        <v>1</v>
      </c>
      <c r="J311" s="10" t="s">
        <v>54</v>
      </c>
      <c r="K311" s="10">
        <v>1</v>
      </c>
      <c r="L311" s="11">
        <v>0</v>
      </c>
    </row>
    <row r="312" spans="1:12" x14ac:dyDescent="0.3">
      <c r="A312" s="12" t="s">
        <v>362</v>
      </c>
      <c r="B312" s="13" t="s">
        <v>82</v>
      </c>
      <c r="C312" s="13">
        <v>177</v>
      </c>
      <c r="D312" s="13"/>
      <c r="E312" s="13" t="s">
        <v>54</v>
      </c>
      <c r="F312" s="13">
        <v>1</v>
      </c>
      <c r="G312" s="13">
        <v>1</v>
      </c>
      <c r="H312" s="13">
        <v>0</v>
      </c>
      <c r="I312" s="13">
        <v>1</v>
      </c>
      <c r="J312" s="13" t="s">
        <v>54</v>
      </c>
      <c r="K312" s="13">
        <v>1</v>
      </c>
      <c r="L312" s="14">
        <v>0</v>
      </c>
    </row>
    <row r="313" spans="1:12" x14ac:dyDescent="0.3">
      <c r="A313" s="9" t="s">
        <v>362</v>
      </c>
      <c r="B313" s="10" t="s">
        <v>199</v>
      </c>
      <c r="C313" s="10">
        <v>54</v>
      </c>
      <c r="D313" s="10"/>
      <c r="E313" s="10" t="s">
        <v>279</v>
      </c>
      <c r="F313" s="10">
        <v>3</v>
      </c>
      <c r="G313" s="10">
        <v>3</v>
      </c>
      <c r="H313" s="10">
        <v>2</v>
      </c>
      <c r="I313" s="10">
        <v>1</v>
      </c>
      <c r="J313" s="10" t="s">
        <v>246</v>
      </c>
      <c r="K313" s="10">
        <v>2</v>
      </c>
      <c r="L313" s="11">
        <v>1</v>
      </c>
    </row>
    <row r="314" spans="1:12" x14ac:dyDescent="0.3">
      <c r="A314" s="12" t="s">
        <v>362</v>
      </c>
      <c r="B314" s="13" t="s">
        <v>147</v>
      </c>
      <c r="C314" s="13">
        <v>9</v>
      </c>
      <c r="D314" s="13">
        <v>9</v>
      </c>
      <c r="E314" s="13" t="s">
        <v>54</v>
      </c>
      <c r="F314" s="13">
        <v>1</v>
      </c>
      <c r="G314" s="13">
        <v>1</v>
      </c>
      <c r="H314" s="13">
        <v>0</v>
      </c>
      <c r="I314" s="13">
        <v>1</v>
      </c>
      <c r="J314" s="13" t="s">
        <v>295</v>
      </c>
      <c r="K314" s="13">
        <v>4</v>
      </c>
      <c r="L314" s="14">
        <v>-3</v>
      </c>
    </row>
    <row r="315" spans="1:12" x14ac:dyDescent="0.3">
      <c r="A315" s="9" t="s">
        <v>362</v>
      </c>
      <c r="B315" s="10" t="s">
        <v>92</v>
      </c>
      <c r="C315" s="10">
        <v>30</v>
      </c>
      <c r="D315" s="10">
        <v>28</v>
      </c>
      <c r="E315" s="10" t="s">
        <v>54</v>
      </c>
      <c r="F315" s="10">
        <v>1</v>
      </c>
      <c r="G315" s="10">
        <v>1</v>
      </c>
      <c r="H315" s="10">
        <v>0</v>
      </c>
      <c r="I315" s="10">
        <v>1</v>
      </c>
      <c r="J315" s="10" t="s">
        <v>279</v>
      </c>
      <c r="K315" s="10">
        <v>3</v>
      </c>
      <c r="L315" s="11">
        <v>-2</v>
      </c>
    </row>
    <row r="316" spans="1:12" x14ac:dyDescent="0.3">
      <c r="A316" s="12" t="s">
        <v>362</v>
      </c>
      <c r="B316" s="13" t="s">
        <v>106</v>
      </c>
      <c r="C316" s="13">
        <v>109</v>
      </c>
      <c r="D316" s="13"/>
      <c r="E316" s="13" t="s">
        <v>246</v>
      </c>
      <c r="F316" s="13">
        <v>2</v>
      </c>
      <c r="G316" s="13">
        <v>2</v>
      </c>
      <c r="H316" s="13">
        <v>1</v>
      </c>
      <c r="I316" s="13">
        <v>1</v>
      </c>
      <c r="J316" s="13" t="s">
        <v>54</v>
      </c>
      <c r="K316" s="13">
        <v>1</v>
      </c>
      <c r="L316" s="14">
        <v>1</v>
      </c>
    </row>
    <row r="317" spans="1:12" x14ac:dyDescent="0.3">
      <c r="A317" s="9" t="s">
        <v>362</v>
      </c>
      <c r="B317" s="10" t="s">
        <v>65</v>
      </c>
      <c r="C317" s="10">
        <v>24</v>
      </c>
      <c r="D317" s="10">
        <v>22</v>
      </c>
      <c r="E317" s="10" t="s">
        <v>325</v>
      </c>
      <c r="F317" s="10">
        <v>5</v>
      </c>
      <c r="G317" s="10">
        <v>5</v>
      </c>
      <c r="H317" s="10">
        <v>4</v>
      </c>
      <c r="I317" s="10">
        <v>1</v>
      </c>
      <c r="J317" s="10" t="s">
        <v>279</v>
      </c>
      <c r="K317" s="10">
        <v>3</v>
      </c>
      <c r="L317" s="11">
        <v>2</v>
      </c>
    </row>
    <row r="318" spans="1:12" x14ac:dyDescent="0.3">
      <c r="A318" s="12" t="s">
        <v>362</v>
      </c>
      <c r="B318" s="13" t="s">
        <v>370</v>
      </c>
      <c r="C318" s="13">
        <v>251</v>
      </c>
      <c r="D318" s="13"/>
      <c r="E318" s="13" t="s">
        <v>54</v>
      </c>
      <c r="F318" s="13">
        <v>1</v>
      </c>
      <c r="G318" s="13">
        <v>1</v>
      </c>
      <c r="H318" s="13">
        <v>0</v>
      </c>
      <c r="I318" s="13">
        <v>1</v>
      </c>
      <c r="J318" s="13" t="s">
        <v>54</v>
      </c>
      <c r="K318" s="13">
        <v>1</v>
      </c>
      <c r="L318" s="14">
        <v>0</v>
      </c>
    </row>
    <row r="319" spans="1:12" x14ac:dyDescent="0.3">
      <c r="A319" s="9" t="s">
        <v>362</v>
      </c>
      <c r="B319" s="10" t="s">
        <v>371</v>
      </c>
      <c r="C319" s="10">
        <v>131</v>
      </c>
      <c r="D319" s="10"/>
      <c r="E319" s="10" t="s">
        <v>54</v>
      </c>
      <c r="F319" s="10">
        <v>1</v>
      </c>
      <c r="G319" s="10">
        <v>1</v>
      </c>
      <c r="H319" s="10">
        <v>0</v>
      </c>
      <c r="I319" s="10">
        <v>1</v>
      </c>
      <c r="J319" s="10" t="s">
        <v>54</v>
      </c>
      <c r="K319" s="10">
        <v>1</v>
      </c>
      <c r="L319" s="11">
        <v>0</v>
      </c>
    </row>
    <row r="320" spans="1:12" x14ac:dyDescent="0.3">
      <c r="A320" s="12" t="s">
        <v>362</v>
      </c>
      <c r="B320" s="13" t="s">
        <v>372</v>
      </c>
      <c r="C320" s="13">
        <v>282</v>
      </c>
      <c r="D320" s="13"/>
      <c r="E320" s="13" t="s">
        <v>246</v>
      </c>
      <c r="F320" s="13">
        <v>2</v>
      </c>
      <c r="G320" s="13">
        <v>2</v>
      </c>
      <c r="H320" s="13">
        <v>1</v>
      </c>
      <c r="I320" s="13">
        <v>1</v>
      </c>
      <c r="J320" s="13" t="s">
        <v>54</v>
      </c>
      <c r="K320" s="13">
        <v>1</v>
      </c>
      <c r="L320" s="14">
        <v>1</v>
      </c>
    </row>
    <row r="321" spans="1:12" x14ac:dyDescent="0.3">
      <c r="A321" s="9" t="s">
        <v>362</v>
      </c>
      <c r="B321" s="10" t="s">
        <v>64</v>
      </c>
      <c r="C321" s="10">
        <v>53</v>
      </c>
      <c r="D321" s="10"/>
      <c r="E321" s="10" t="s">
        <v>54</v>
      </c>
      <c r="F321" s="10">
        <v>1</v>
      </c>
      <c r="G321" s="10">
        <v>1</v>
      </c>
      <c r="H321" s="10">
        <v>0</v>
      </c>
      <c r="I321" s="10">
        <v>1</v>
      </c>
      <c r="J321" s="10" t="s">
        <v>246</v>
      </c>
      <c r="K321" s="10">
        <v>2</v>
      </c>
      <c r="L321" s="11">
        <v>-1</v>
      </c>
    </row>
    <row r="322" spans="1:12" x14ac:dyDescent="0.3">
      <c r="A322" s="12" t="s">
        <v>362</v>
      </c>
      <c r="B322" s="13" t="s">
        <v>186</v>
      </c>
      <c r="C322" s="13">
        <v>45</v>
      </c>
      <c r="D322" s="13"/>
      <c r="E322" s="13" t="s">
        <v>295</v>
      </c>
      <c r="F322" s="13">
        <v>4</v>
      </c>
      <c r="G322" s="13">
        <v>4</v>
      </c>
      <c r="H322" s="13">
        <v>3</v>
      </c>
      <c r="I322" s="13">
        <v>1</v>
      </c>
      <c r="J322" s="13" t="s">
        <v>246</v>
      </c>
      <c r="K322" s="13">
        <v>2</v>
      </c>
      <c r="L322" s="14">
        <v>2</v>
      </c>
    </row>
    <row r="323" spans="1:12" x14ac:dyDescent="0.3">
      <c r="A323" s="9" t="s">
        <v>362</v>
      </c>
      <c r="B323" s="10" t="s">
        <v>145</v>
      </c>
      <c r="C323" s="10">
        <v>55</v>
      </c>
      <c r="D323" s="10"/>
      <c r="E323" s="10" t="s">
        <v>54</v>
      </c>
      <c r="F323" s="10">
        <v>1</v>
      </c>
      <c r="G323" s="10">
        <v>1</v>
      </c>
      <c r="H323" s="10">
        <v>0</v>
      </c>
      <c r="I323" s="10">
        <v>1</v>
      </c>
      <c r="J323" s="10" t="s">
        <v>246</v>
      </c>
      <c r="K323" s="10">
        <v>2</v>
      </c>
      <c r="L323" s="11">
        <v>-1</v>
      </c>
    </row>
    <row r="324" spans="1:12" x14ac:dyDescent="0.3">
      <c r="A324" s="12" t="s">
        <v>362</v>
      </c>
      <c r="B324" s="13" t="s">
        <v>348</v>
      </c>
      <c r="C324" s="13">
        <v>90</v>
      </c>
      <c r="D324" s="13"/>
      <c r="E324" s="13" t="s">
        <v>54</v>
      </c>
      <c r="F324" s="13">
        <v>1</v>
      </c>
      <c r="G324" s="13">
        <v>1</v>
      </c>
      <c r="H324" s="13">
        <v>0</v>
      </c>
      <c r="I324" s="13">
        <v>1</v>
      </c>
      <c r="J324" s="13" t="s">
        <v>54</v>
      </c>
      <c r="K324" s="13">
        <v>1</v>
      </c>
      <c r="L324" s="14">
        <v>0</v>
      </c>
    </row>
    <row r="325" spans="1:12" x14ac:dyDescent="0.3">
      <c r="A325" s="9" t="s">
        <v>362</v>
      </c>
      <c r="B325" s="10" t="s">
        <v>201</v>
      </c>
      <c r="C325" s="10">
        <v>17</v>
      </c>
      <c r="D325" s="10">
        <v>15</v>
      </c>
      <c r="E325" s="10" t="s">
        <v>279</v>
      </c>
      <c r="F325" s="10">
        <v>3</v>
      </c>
      <c r="G325" s="10">
        <v>3</v>
      </c>
      <c r="H325" s="10">
        <v>2</v>
      </c>
      <c r="I325" s="10">
        <v>1</v>
      </c>
      <c r="J325" s="10" t="s">
        <v>279</v>
      </c>
      <c r="K325" s="10">
        <v>3</v>
      </c>
      <c r="L325" s="11">
        <v>0</v>
      </c>
    </row>
    <row r="326" spans="1:12" x14ac:dyDescent="0.3">
      <c r="A326" s="12" t="s">
        <v>362</v>
      </c>
      <c r="B326" s="13" t="s">
        <v>165</v>
      </c>
      <c r="C326" s="13">
        <v>89</v>
      </c>
      <c r="D326" s="13"/>
      <c r="E326" s="13" t="s">
        <v>54</v>
      </c>
      <c r="F326" s="13">
        <v>1</v>
      </c>
      <c r="G326" s="13">
        <v>1</v>
      </c>
      <c r="H326" s="13">
        <v>0</v>
      </c>
      <c r="I326" s="13">
        <v>1</v>
      </c>
      <c r="J326" s="13" t="s">
        <v>54</v>
      </c>
      <c r="K326" s="13">
        <v>1</v>
      </c>
      <c r="L326" s="14">
        <v>0</v>
      </c>
    </row>
    <row r="327" spans="1:12" x14ac:dyDescent="0.3">
      <c r="A327" s="9" t="s">
        <v>362</v>
      </c>
      <c r="B327" s="10" t="s">
        <v>228</v>
      </c>
      <c r="C327" s="10">
        <v>47</v>
      </c>
      <c r="D327" s="10"/>
      <c r="E327" s="10" t="s">
        <v>54</v>
      </c>
      <c r="F327" s="10">
        <v>1</v>
      </c>
      <c r="G327" s="10">
        <v>1</v>
      </c>
      <c r="H327" s="10">
        <v>0</v>
      </c>
      <c r="I327" s="10">
        <v>1</v>
      </c>
      <c r="J327" s="10" t="s">
        <v>246</v>
      </c>
      <c r="K327" s="10">
        <v>2</v>
      </c>
      <c r="L327" s="11">
        <v>-1</v>
      </c>
    </row>
    <row r="328" spans="1:12" x14ac:dyDescent="0.3">
      <c r="A328" s="12" t="s">
        <v>362</v>
      </c>
      <c r="B328" s="13" t="s">
        <v>100</v>
      </c>
      <c r="C328" s="13">
        <v>11</v>
      </c>
      <c r="D328" s="13">
        <v>11</v>
      </c>
      <c r="E328" s="13" t="s">
        <v>295</v>
      </c>
      <c r="F328" s="13">
        <v>4</v>
      </c>
      <c r="G328" s="13">
        <v>4</v>
      </c>
      <c r="H328" s="13">
        <v>3</v>
      </c>
      <c r="I328" s="13">
        <v>1</v>
      </c>
      <c r="J328" s="13" t="s">
        <v>295</v>
      </c>
      <c r="K328" s="13">
        <v>4</v>
      </c>
      <c r="L328" s="14">
        <v>0</v>
      </c>
    </row>
    <row r="329" spans="1:12" x14ac:dyDescent="0.3">
      <c r="A329" s="9" t="s">
        <v>362</v>
      </c>
      <c r="B329" s="10" t="s">
        <v>350</v>
      </c>
      <c r="C329" s="10">
        <v>62</v>
      </c>
      <c r="D329" s="10"/>
      <c r="E329" s="10" t="s">
        <v>54</v>
      </c>
      <c r="F329" s="10">
        <v>1</v>
      </c>
      <c r="G329" s="10">
        <v>1</v>
      </c>
      <c r="H329" s="10">
        <v>0</v>
      </c>
      <c r="I329" s="10">
        <v>1</v>
      </c>
      <c r="J329" s="10" t="s">
        <v>246</v>
      </c>
      <c r="K329" s="10">
        <v>2</v>
      </c>
      <c r="L329" s="11">
        <v>-1</v>
      </c>
    </row>
    <row r="330" spans="1:12" x14ac:dyDescent="0.3">
      <c r="A330" s="12" t="s">
        <v>362</v>
      </c>
      <c r="B330" s="13" t="s">
        <v>234</v>
      </c>
      <c r="C330" s="13">
        <v>116</v>
      </c>
      <c r="D330" s="13"/>
      <c r="E330" s="13" t="s">
        <v>246</v>
      </c>
      <c r="F330" s="13">
        <v>2</v>
      </c>
      <c r="G330" s="13">
        <v>2</v>
      </c>
      <c r="H330" s="13">
        <v>1</v>
      </c>
      <c r="I330" s="13">
        <v>1</v>
      </c>
      <c r="J330" s="13" t="s">
        <v>54</v>
      </c>
      <c r="K330" s="13">
        <v>1</v>
      </c>
      <c r="L330" s="14">
        <v>1</v>
      </c>
    </row>
    <row r="331" spans="1:12" x14ac:dyDescent="0.3">
      <c r="A331" s="9" t="s">
        <v>362</v>
      </c>
      <c r="B331" s="10" t="s">
        <v>229</v>
      </c>
      <c r="C331" s="10">
        <v>86</v>
      </c>
      <c r="D331" s="10"/>
      <c r="E331" s="10" t="s">
        <v>54</v>
      </c>
      <c r="F331" s="10">
        <v>1</v>
      </c>
      <c r="G331" s="10">
        <v>1</v>
      </c>
      <c r="H331" s="10">
        <v>0</v>
      </c>
      <c r="I331" s="10">
        <v>1</v>
      </c>
      <c r="J331" s="10" t="s">
        <v>54</v>
      </c>
      <c r="K331" s="10">
        <v>1</v>
      </c>
      <c r="L331" s="11">
        <v>0</v>
      </c>
    </row>
    <row r="332" spans="1:12" x14ac:dyDescent="0.3">
      <c r="A332" s="12" t="s">
        <v>362</v>
      </c>
      <c r="B332" s="13" t="s">
        <v>88</v>
      </c>
      <c r="C332" s="13">
        <v>19</v>
      </c>
      <c r="D332" s="13">
        <v>17</v>
      </c>
      <c r="E332" s="13" t="s">
        <v>325</v>
      </c>
      <c r="F332" s="13">
        <v>5</v>
      </c>
      <c r="G332" s="13">
        <v>5</v>
      </c>
      <c r="H332" s="13">
        <v>4</v>
      </c>
      <c r="I332" s="13">
        <v>1</v>
      </c>
      <c r="J332" s="13" t="s">
        <v>279</v>
      </c>
      <c r="K332" s="13">
        <v>3</v>
      </c>
      <c r="L332" s="14">
        <v>2</v>
      </c>
    </row>
    <row r="333" spans="1:12" x14ac:dyDescent="0.3">
      <c r="A333" s="9" t="s">
        <v>362</v>
      </c>
      <c r="B333" s="10" t="s">
        <v>373</v>
      </c>
      <c r="C333" s="10">
        <v>195</v>
      </c>
      <c r="D333" s="10"/>
      <c r="E333" s="10" t="s">
        <v>279</v>
      </c>
      <c r="F333" s="10">
        <v>3</v>
      </c>
      <c r="G333" s="10">
        <v>3</v>
      </c>
      <c r="H333" s="10">
        <v>2</v>
      </c>
      <c r="I333" s="10">
        <v>1</v>
      </c>
      <c r="J333" s="10" t="s">
        <v>54</v>
      </c>
      <c r="K333" s="10">
        <v>1</v>
      </c>
      <c r="L333" s="11">
        <v>2</v>
      </c>
    </row>
    <row r="334" spans="1:12" x14ac:dyDescent="0.3">
      <c r="A334" s="12" t="s">
        <v>362</v>
      </c>
      <c r="B334" s="13" t="s">
        <v>119</v>
      </c>
      <c r="C334" s="13">
        <v>108</v>
      </c>
      <c r="D334" s="13"/>
      <c r="E334" s="13" t="s">
        <v>295</v>
      </c>
      <c r="F334" s="13">
        <v>4</v>
      </c>
      <c r="G334" s="13">
        <v>4</v>
      </c>
      <c r="H334" s="13">
        <v>3</v>
      </c>
      <c r="I334" s="13">
        <v>1</v>
      </c>
      <c r="J334" s="13" t="s">
        <v>54</v>
      </c>
      <c r="K334" s="13">
        <v>1</v>
      </c>
      <c r="L334" s="14">
        <v>3</v>
      </c>
    </row>
    <row r="335" spans="1:12" x14ac:dyDescent="0.3">
      <c r="A335" s="9" t="s">
        <v>362</v>
      </c>
      <c r="B335" s="10" t="s">
        <v>159</v>
      </c>
      <c r="C335" s="10">
        <v>23</v>
      </c>
      <c r="D335" s="10">
        <v>21</v>
      </c>
      <c r="E335" s="10" t="s">
        <v>246</v>
      </c>
      <c r="F335" s="10">
        <v>2</v>
      </c>
      <c r="G335" s="10">
        <v>2</v>
      </c>
      <c r="H335" s="10">
        <v>1</v>
      </c>
      <c r="I335" s="10">
        <v>1</v>
      </c>
      <c r="J335" s="10" t="s">
        <v>279</v>
      </c>
      <c r="K335" s="10">
        <v>3</v>
      </c>
      <c r="L335" s="11">
        <v>-1</v>
      </c>
    </row>
    <row r="336" spans="1:12" x14ac:dyDescent="0.3">
      <c r="A336" s="12" t="s">
        <v>362</v>
      </c>
      <c r="B336" s="13" t="s">
        <v>56</v>
      </c>
      <c r="C336" s="13">
        <v>145</v>
      </c>
      <c r="D336" s="13"/>
      <c r="E336" s="13" t="s">
        <v>295</v>
      </c>
      <c r="F336" s="13">
        <v>4</v>
      </c>
      <c r="G336" s="13">
        <v>4</v>
      </c>
      <c r="H336" s="13">
        <v>3</v>
      </c>
      <c r="I336" s="13">
        <v>1</v>
      </c>
      <c r="J336" s="13" t="s">
        <v>54</v>
      </c>
      <c r="K336" s="13">
        <v>1</v>
      </c>
      <c r="L336" s="14">
        <v>3</v>
      </c>
    </row>
    <row r="337" spans="1:12" x14ac:dyDescent="0.3">
      <c r="A337" s="9" t="s">
        <v>362</v>
      </c>
      <c r="B337" s="10" t="s">
        <v>70</v>
      </c>
      <c r="C337" s="10">
        <v>49</v>
      </c>
      <c r="D337" s="10"/>
      <c r="E337" s="10" t="s">
        <v>279</v>
      </c>
      <c r="F337" s="10">
        <v>3</v>
      </c>
      <c r="G337" s="10">
        <v>3</v>
      </c>
      <c r="H337" s="10">
        <v>2</v>
      </c>
      <c r="I337" s="10">
        <v>1</v>
      </c>
      <c r="J337" s="10" t="s">
        <v>246</v>
      </c>
      <c r="K337" s="10">
        <v>2</v>
      </c>
      <c r="L337" s="11">
        <v>1</v>
      </c>
    </row>
    <row r="338" spans="1:12" x14ac:dyDescent="0.3">
      <c r="A338" s="12" t="s">
        <v>362</v>
      </c>
      <c r="B338" s="13" t="s">
        <v>74</v>
      </c>
      <c r="C338" s="13">
        <v>61</v>
      </c>
      <c r="D338" s="13"/>
      <c r="E338" s="13" t="s">
        <v>325</v>
      </c>
      <c r="F338" s="13">
        <v>5</v>
      </c>
      <c r="G338" s="13">
        <v>5</v>
      </c>
      <c r="H338" s="13">
        <v>4</v>
      </c>
      <c r="I338" s="13">
        <v>1</v>
      </c>
      <c r="J338" s="13" t="s">
        <v>246</v>
      </c>
      <c r="K338" s="13">
        <v>2</v>
      </c>
      <c r="L338" s="14">
        <v>3</v>
      </c>
    </row>
    <row r="339" spans="1:12" x14ac:dyDescent="0.3">
      <c r="A339" s="9" t="s">
        <v>362</v>
      </c>
      <c r="B339" s="10" t="s">
        <v>79</v>
      </c>
      <c r="C339" s="10">
        <v>33</v>
      </c>
      <c r="D339" s="10">
        <v>30</v>
      </c>
      <c r="E339" s="10" t="s">
        <v>54</v>
      </c>
      <c r="F339" s="10">
        <v>1</v>
      </c>
      <c r="G339" s="10">
        <v>1</v>
      </c>
      <c r="H339" s="10">
        <v>0</v>
      </c>
      <c r="I339" s="10">
        <v>1</v>
      </c>
      <c r="J339" s="10" t="s">
        <v>246</v>
      </c>
      <c r="K339" s="10">
        <v>2</v>
      </c>
      <c r="L339" s="11">
        <v>-1</v>
      </c>
    </row>
    <row r="340" spans="1:12" x14ac:dyDescent="0.3">
      <c r="A340" s="12" t="s">
        <v>362</v>
      </c>
      <c r="B340" s="13" t="s">
        <v>338</v>
      </c>
      <c r="C340" s="13">
        <v>104</v>
      </c>
      <c r="D340" s="13"/>
      <c r="E340" s="13" t="s">
        <v>246</v>
      </c>
      <c r="F340" s="13">
        <v>2</v>
      </c>
      <c r="G340" s="13">
        <v>2</v>
      </c>
      <c r="H340" s="13">
        <v>1</v>
      </c>
      <c r="I340" s="13">
        <v>1</v>
      </c>
      <c r="J340" s="13" t="s">
        <v>54</v>
      </c>
      <c r="K340" s="13">
        <v>1</v>
      </c>
      <c r="L340" s="14">
        <v>1</v>
      </c>
    </row>
    <row r="341" spans="1:12" x14ac:dyDescent="0.3">
      <c r="A341" s="9" t="s">
        <v>362</v>
      </c>
      <c r="B341" s="10" t="s">
        <v>101</v>
      </c>
      <c r="C341" s="10">
        <v>92</v>
      </c>
      <c r="D341" s="10"/>
      <c r="E341" s="10" t="s">
        <v>246</v>
      </c>
      <c r="F341" s="10">
        <v>2</v>
      </c>
      <c r="G341" s="10">
        <v>2</v>
      </c>
      <c r="H341" s="10">
        <v>1</v>
      </c>
      <c r="I341" s="10">
        <v>1</v>
      </c>
      <c r="J341" s="10" t="s">
        <v>54</v>
      </c>
      <c r="K341" s="10">
        <v>1</v>
      </c>
      <c r="L341" s="11">
        <v>1</v>
      </c>
    </row>
    <row r="342" spans="1:12" x14ac:dyDescent="0.3">
      <c r="A342" s="12" t="s">
        <v>362</v>
      </c>
      <c r="B342" s="13" t="s">
        <v>374</v>
      </c>
      <c r="C342" s="13">
        <v>199</v>
      </c>
      <c r="D342" s="13"/>
      <c r="E342" s="13" t="s">
        <v>54</v>
      </c>
      <c r="F342" s="13">
        <v>1</v>
      </c>
      <c r="G342" s="13">
        <v>1</v>
      </c>
      <c r="H342" s="13">
        <v>0</v>
      </c>
      <c r="I342" s="13">
        <v>1</v>
      </c>
      <c r="J342" s="13" t="s">
        <v>54</v>
      </c>
      <c r="K342" s="13">
        <v>1</v>
      </c>
      <c r="L342" s="14">
        <v>0</v>
      </c>
    </row>
    <row r="343" spans="1:12" x14ac:dyDescent="0.3">
      <c r="A343" s="9" t="s">
        <v>362</v>
      </c>
      <c r="B343" s="10" t="s">
        <v>190</v>
      </c>
      <c r="C343" s="10">
        <v>40</v>
      </c>
      <c r="D343" s="10"/>
      <c r="E343" s="10" t="s">
        <v>54</v>
      </c>
      <c r="F343" s="10">
        <v>1</v>
      </c>
      <c r="G343" s="10">
        <v>1</v>
      </c>
      <c r="H343" s="10">
        <v>0</v>
      </c>
      <c r="I343" s="10">
        <v>1</v>
      </c>
      <c r="J343" s="10" t="s">
        <v>246</v>
      </c>
      <c r="K343" s="10">
        <v>2</v>
      </c>
      <c r="L343" s="11">
        <v>-1</v>
      </c>
    </row>
    <row r="344" spans="1:12" x14ac:dyDescent="0.3">
      <c r="A344" s="12" t="s">
        <v>362</v>
      </c>
      <c r="B344" s="13" t="s">
        <v>103</v>
      </c>
      <c r="C344" s="13">
        <v>5</v>
      </c>
      <c r="D344" s="13">
        <v>5</v>
      </c>
      <c r="E344" s="13" t="s">
        <v>326</v>
      </c>
      <c r="F344" s="13">
        <v>6</v>
      </c>
      <c r="G344" s="13">
        <v>6</v>
      </c>
      <c r="H344" s="13">
        <v>5</v>
      </c>
      <c r="I344" s="13">
        <v>1</v>
      </c>
      <c r="J344" s="13" t="s">
        <v>325</v>
      </c>
      <c r="K344" s="13">
        <v>5</v>
      </c>
      <c r="L344" s="14">
        <v>1</v>
      </c>
    </row>
    <row r="345" spans="1:12" x14ac:dyDescent="0.3">
      <c r="A345" s="9" t="s">
        <v>362</v>
      </c>
      <c r="B345" s="10" t="s">
        <v>113</v>
      </c>
      <c r="C345" s="10">
        <v>36</v>
      </c>
      <c r="D345" s="10"/>
      <c r="E345" s="10" t="s">
        <v>54</v>
      </c>
      <c r="F345" s="10">
        <v>1</v>
      </c>
      <c r="G345" s="10">
        <v>1</v>
      </c>
      <c r="H345" s="10">
        <v>0</v>
      </c>
      <c r="I345" s="10">
        <v>1</v>
      </c>
      <c r="J345" s="10" t="s">
        <v>246</v>
      </c>
      <c r="K345" s="10">
        <v>2</v>
      </c>
      <c r="L345" s="11">
        <v>-1</v>
      </c>
    </row>
    <row r="346" spans="1:12" x14ac:dyDescent="0.3">
      <c r="A346" s="12" t="s">
        <v>362</v>
      </c>
      <c r="B346" s="13" t="s">
        <v>85</v>
      </c>
      <c r="C346" s="13">
        <v>41</v>
      </c>
      <c r="D346" s="13"/>
      <c r="E346" s="13" t="s">
        <v>246</v>
      </c>
      <c r="F346" s="13">
        <v>2</v>
      </c>
      <c r="G346" s="13">
        <v>2</v>
      </c>
      <c r="H346" s="13">
        <v>1</v>
      </c>
      <c r="I346" s="13">
        <v>1</v>
      </c>
      <c r="J346" s="13" t="s">
        <v>246</v>
      </c>
      <c r="K346" s="13">
        <v>2</v>
      </c>
      <c r="L346" s="14">
        <v>0</v>
      </c>
    </row>
    <row r="347" spans="1:12" x14ac:dyDescent="0.3">
      <c r="A347" s="9" t="s">
        <v>362</v>
      </c>
      <c r="B347" s="10" t="s">
        <v>128</v>
      </c>
      <c r="C347" s="10">
        <v>14</v>
      </c>
      <c r="D347" s="10">
        <v>14</v>
      </c>
      <c r="E347" s="10" t="s">
        <v>295</v>
      </c>
      <c r="F347" s="10">
        <v>4</v>
      </c>
      <c r="G347" s="10">
        <v>4</v>
      </c>
      <c r="H347" s="10">
        <v>3</v>
      </c>
      <c r="I347" s="10">
        <v>1</v>
      </c>
      <c r="J347" s="10" t="s">
        <v>295</v>
      </c>
      <c r="K347" s="10">
        <v>4</v>
      </c>
      <c r="L347" s="11">
        <v>0</v>
      </c>
    </row>
    <row r="348" spans="1:12" x14ac:dyDescent="0.3">
      <c r="A348" s="12" t="s">
        <v>362</v>
      </c>
      <c r="B348" s="13" t="s">
        <v>109</v>
      </c>
      <c r="C348" s="13">
        <v>59</v>
      </c>
      <c r="D348" s="13"/>
      <c r="E348" s="13" t="s">
        <v>54</v>
      </c>
      <c r="F348" s="13">
        <v>1</v>
      </c>
      <c r="G348" s="13">
        <v>1</v>
      </c>
      <c r="H348" s="13">
        <v>0</v>
      </c>
      <c r="I348" s="13">
        <v>1</v>
      </c>
      <c r="J348" s="13" t="s">
        <v>246</v>
      </c>
      <c r="K348" s="13">
        <v>2</v>
      </c>
      <c r="L348" s="14">
        <v>-1</v>
      </c>
    </row>
    <row r="349" spans="1:12" x14ac:dyDescent="0.3">
      <c r="A349" s="9" t="s">
        <v>362</v>
      </c>
      <c r="B349" s="10" t="s">
        <v>168</v>
      </c>
      <c r="C349" s="10">
        <v>64</v>
      </c>
      <c r="D349" s="10"/>
      <c r="E349" s="10" t="s">
        <v>246</v>
      </c>
      <c r="F349" s="10">
        <v>2</v>
      </c>
      <c r="G349" s="10">
        <v>2</v>
      </c>
      <c r="H349" s="10">
        <v>1</v>
      </c>
      <c r="I349" s="10">
        <v>1</v>
      </c>
      <c r="J349" s="10" t="s">
        <v>246</v>
      </c>
      <c r="K349" s="10">
        <v>2</v>
      </c>
      <c r="L349" s="11">
        <v>0</v>
      </c>
    </row>
    <row r="350" spans="1:12" x14ac:dyDescent="0.3">
      <c r="A350" s="12" t="s">
        <v>362</v>
      </c>
      <c r="B350" s="13" t="s">
        <v>125</v>
      </c>
      <c r="C350" s="13">
        <v>44</v>
      </c>
      <c r="D350" s="13"/>
      <c r="E350" s="13" t="s">
        <v>54</v>
      </c>
      <c r="F350" s="13">
        <v>1</v>
      </c>
      <c r="G350" s="13">
        <v>1</v>
      </c>
      <c r="H350" s="13">
        <v>0</v>
      </c>
      <c r="I350" s="13">
        <v>1</v>
      </c>
      <c r="J350" s="13" t="s">
        <v>246</v>
      </c>
      <c r="K350" s="13">
        <v>2</v>
      </c>
      <c r="L350" s="14">
        <v>-1</v>
      </c>
    </row>
    <row r="351" spans="1:12" x14ac:dyDescent="0.3">
      <c r="A351" s="9" t="s">
        <v>362</v>
      </c>
      <c r="B351" s="10" t="s">
        <v>178</v>
      </c>
      <c r="C351" s="10">
        <v>75</v>
      </c>
      <c r="D351" s="10"/>
      <c r="E351" s="10" t="s">
        <v>54</v>
      </c>
      <c r="F351" s="10">
        <v>1</v>
      </c>
      <c r="G351" s="10">
        <v>1</v>
      </c>
      <c r="H351" s="10">
        <v>0</v>
      </c>
      <c r="I351" s="10">
        <v>1</v>
      </c>
      <c r="J351" s="10" t="s">
        <v>54</v>
      </c>
      <c r="K351" s="10">
        <v>1</v>
      </c>
      <c r="L351" s="11">
        <v>0</v>
      </c>
    </row>
    <row r="352" spans="1:12" x14ac:dyDescent="0.3">
      <c r="A352" s="12" t="s">
        <v>362</v>
      </c>
      <c r="B352" s="13" t="s">
        <v>204</v>
      </c>
      <c r="C352" s="13">
        <v>28</v>
      </c>
      <c r="D352" s="13">
        <v>26</v>
      </c>
      <c r="E352" s="13" t="s">
        <v>279</v>
      </c>
      <c r="F352" s="13">
        <v>3</v>
      </c>
      <c r="G352" s="13">
        <v>3</v>
      </c>
      <c r="H352" s="13">
        <v>2</v>
      </c>
      <c r="I352" s="13">
        <v>1</v>
      </c>
      <c r="J352" s="13" t="s">
        <v>279</v>
      </c>
      <c r="K352" s="13">
        <v>3</v>
      </c>
      <c r="L352" s="14">
        <v>0</v>
      </c>
    </row>
    <row r="353" spans="1:12" x14ac:dyDescent="0.3">
      <c r="A353" s="9" t="s">
        <v>362</v>
      </c>
      <c r="B353" s="10" t="s">
        <v>375</v>
      </c>
      <c r="C353" s="10">
        <v>101</v>
      </c>
      <c r="D353" s="10"/>
      <c r="E353" s="10" t="s">
        <v>54</v>
      </c>
      <c r="F353" s="10">
        <v>1</v>
      </c>
      <c r="G353" s="10">
        <v>1</v>
      </c>
      <c r="H353" s="10">
        <v>0</v>
      </c>
      <c r="I353" s="10">
        <v>1</v>
      </c>
      <c r="J353" s="10" t="s">
        <v>54</v>
      </c>
      <c r="K353" s="10">
        <v>1</v>
      </c>
      <c r="L353" s="11">
        <v>0</v>
      </c>
    </row>
    <row r="354" spans="1:12" x14ac:dyDescent="0.3">
      <c r="A354" s="12" t="s">
        <v>362</v>
      </c>
      <c r="B354" s="13" t="s">
        <v>376</v>
      </c>
      <c r="C354" s="13">
        <v>142</v>
      </c>
      <c r="D354" s="13"/>
      <c r="E354" s="13" t="s">
        <v>246</v>
      </c>
      <c r="F354" s="13">
        <v>2</v>
      </c>
      <c r="G354" s="13">
        <v>2</v>
      </c>
      <c r="H354" s="13">
        <v>1</v>
      </c>
      <c r="I354" s="13">
        <v>1</v>
      </c>
      <c r="J354" s="13" t="s">
        <v>54</v>
      </c>
      <c r="K354" s="13">
        <v>1</v>
      </c>
      <c r="L354" s="14">
        <v>1</v>
      </c>
    </row>
    <row r="355" spans="1:12" x14ac:dyDescent="0.3">
      <c r="A355" s="9" t="s">
        <v>362</v>
      </c>
      <c r="B355" s="10" t="s">
        <v>377</v>
      </c>
      <c r="C355" s="10">
        <v>465</v>
      </c>
      <c r="D355" s="10"/>
      <c r="E355" s="10" t="s">
        <v>246</v>
      </c>
      <c r="F355" s="10">
        <v>2</v>
      </c>
      <c r="G355" s="10">
        <v>2</v>
      </c>
      <c r="H355" s="10">
        <v>1</v>
      </c>
      <c r="I355" s="10">
        <v>1</v>
      </c>
      <c r="J355" s="10" t="s">
        <v>54</v>
      </c>
      <c r="K355" s="10">
        <v>1</v>
      </c>
      <c r="L355" s="11">
        <v>1</v>
      </c>
    </row>
    <row r="356" spans="1:12" x14ac:dyDescent="0.3">
      <c r="A356" s="12" t="s">
        <v>362</v>
      </c>
      <c r="B356" s="13" t="s">
        <v>140</v>
      </c>
      <c r="C356" s="13">
        <v>22</v>
      </c>
      <c r="D356" s="13">
        <v>20</v>
      </c>
      <c r="E356" s="13" t="s">
        <v>54</v>
      </c>
      <c r="F356" s="13">
        <v>1</v>
      </c>
      <c r="G356" s="13">
        <v>1</v>
      </c>
      <c r="H356" s="13">
        <v>0</v>
      </c>
      <c r="I356" s="13">
        <v>1</v>
      </c>
      <c r="J356" s="13" t="s">
        <v>279</v>
      </c>
      <c r="K356" s="13">
        <v>3</v>
      </c>
      <c r="L356" s="14">
        <v>-2</v>
      </c>
    </row>
    <row r="357" spans="1:12" x14ac:dyDescent="0.3">
      <c r="A357" s="9" t="s">
        <v>362</v>
      </c>
      <c r="B357" s="10" t="s">
        <v>241</v>
      </c>
      <c r="C357" s="10">
        <v>56</v>
      </c>
      <c r="D357" s="10"/>
      <c r="E357" s="10" t="s">
        <v>279</v>
      </c>
      <c r="F357" s="10">
        <v>3</v>
      </c>
      <c r="G357" s="10">
        <v>3</v>
      </c>
      <c r="H357" s="10">
        <v>2</v>
      </c>
      <c r="I357" s="10">
        <v>1</v>
      </c>
      <c r="J357" s="10" t="s">
        <v>246</v>
      </c>
      <c r="K357" s="10">
        <v>2</v>
      </c>
      <c r="L357" s="11">
        <v>1</v>
      </c>
    </row>
    <row r="358" spans="1:12" x14ac:dyDescent="0.3">
      <c r="A358" s="12" t="s">
        <v>362</v>
      </c>
      <c r="B358" s="13" t="s">
        <v>136</v>
      </c>
      <c r="C358" s="13">
        <v>12</v>
      </c>
      <c r="D358" s="13">
        <v>12</v>
      </c>
      <c r="E358" s="13" t="s">
        <v>246</v>
      </c>
      <c r="F358" s="13">
        <v>2</v>
      </c>
      <c r="G358" s="13">
        <v>2</v>
      </c>
      <c r="H358" s="13">
        <v>1</v>
      </c>
      <c r="I358" s="13">
        <v>1</v>
      </c>
      <c r="J358" s="13" t="s">
        <v>295</v>
      </c>
      <c r="K358" s="13">
        <v>4</v>
      </c>
      <c r="L358" s="14">
        <v>-2</v>
      </c>
    </row>
    <row r="359" spans="1:12" x14ac:dyDescent="0.3">
      <c r="A359" s="9" t="s">
        <v>362</v>
      </c>
      <c r="B359" s="10" t="s">
        <v>343</v>
      </c>
      <c r="C359" s="10">
        <v>82</v>
      </c>
      <c r="D359" s="10"/>
      <c r="E359" s="10" t="s">
        <v>54</v>
      </c>
      <c r="F359" s="10">
        <v>1</v>
      </c>
      <c r="G359" s="10">
        <v>1</v>
      </c>
      <c r="H359" s="10">
        <v>0</v>
      </c>
      <c r="I359" s="10">
        <v>1</v>
      </c>
      <c r="J359" s="10" t="s">
        <v>54</v>
      </c>
      <c r="K359" s="10">
        <v>1</v>
      </c>
      <c r="L359" s="11">
        <v>0</v>
      </c>
    </row>
    <row r="360" spans="1:12" x14ac:dyDescent="0.3">
      <c r="A360" s="12" t="s">
        <v>362</v>
      </c>
      <c r="B360" s="13" t="s">
        <v>137</v>
      </c>
      <c r="C360" s="13">
        <v>70</v>
      </c>
      <c r="D360" s="13"/>
      <c r="E360" s="13" t="s">
        <v>279</v>
      </c>
      <c r="F360" s="13">
        <v>3</v>
      </c>
      <c r="G360" s="13">
        <v>3</v>
      </c>
      <c r="H360" s="13">
        <v>2</v>
      </c>
      <c r="I360" s="13">
        <v>1</v>
      </c>
      <c r="J360" s="13" t="s">
        <v>54</v>
      </c>
      <c r="K360" s="13">
        <v>1</v>
      </c>
      <c r="L360" s="14">
        <v>2</v>
      </c>
    </row>
    <row r="361" spans="1:12" x14ac:dyDescent="0.3">
      <c r="A361" s="9" t="s">
        <v>362</v>
      </c>
      <c r="B361" s="10" t="s">
        <v>73</v>
      </c>
      <c r="C361" s="10">
        <v>35</v>
      </c>
      <c r="D361" s="10">
        <v>32</v>
      </c>
      <c r="E361" s="10" t="s">
        <v>54</v>
      </c>
      <c r="F361" s="10">
        <v>1</v>
      </c>
      <c r="G361" s="10">
        <v>1</v>
      </c>
      <c r="H361" s="10">
        <v>0</v>
      </c>
      <c r="I361" s="10">
        <v>1</v>
      </c>
      <c r="J361" s="10" t="s">
        <v>246</v>
      </c>
      <c r="K361" s="10">
        <v>2</v>
      </c>
      <c r="L361" s="11">
        <v>-1</v>
      </c>
    </row>
    <row r="362" spans="1:12" x14ac:dyDescent="0.3">
      <c r="A362" s="12" t="s">
        <v>362</v>
      </c>
      <c r="B362" s="13" t="s">
        <v>189</v>
      </c>
      <c r="C362" s="13">
        <v>37</v>
      </c>
      <c r="D362" s="13"/>
      <c r="E362" s="13" t="s">
        <v>279</v>
      </c>
      <c r="F362" s="13">
        <v>3</v>
      </c>
      <c r="G362" s="13">
        <v>3</v>
      </c>
      <c r="H362" s="13">
        <v>2</v>
      </c>
      <c r="I362" s="13">
        <v>1</v>
      </c>
      <c r="J362" s="13" t="s">
        <v>246</v>
      </c>
      <c r="K362" s="13">
        <v>2</v>
      </c>
      <c r="L362" s="14">
        <v>1</v>
      </c>
    </row>
    <row r="363" spans="1:12" x14ac:dyDescent="0.3">
      <c r="A363" s="9" t="s">
        <v>362</v>
      </c>
      <c r="B363" s="10" t="s">
        <v>91</v>
      </c>
      <c r="C363" s="10">
        <v>18</v>
      </c>
      <c r="D363" s="10">
        <v>16</v>
      </c>
      <c r="E363" s="10" t="s">
        <v>54</v>
      </c>
      <c r="F363" s="10">
        <v>1</v>
      </c>
      <c r="G363" s="10">
        <v>1</v>
      </c>
      <c r="H363" s="10">
        <v>0</v>
      </c>
      <c r="I363" s="10">
        <v>1</v>
      </c>
      <c r="J363" s="10" t="s">
        <v>279</v>
      </c>
      <c r="K363" s="10">
        <v>3</v>
      </c>
      <c r="L363" s="11">
        <v>-2</v>
      </c>
    </row>
    <row r="364" spans="1:12" x14ac:dyDescent="0.3">
      <c r="A364" s="12" t="s">
        <v>362</v>
      </c>
      <c r="B364" s="13" t="s">
        <v>80</v>
      </c>
      <c r="C364" s="13">
        <v>26</v>
      </c>
      <c r="D364" s="13">
        <v>24</v>
      </c>
      <c r="E364" s="13" t="s">
        <v>54</v>
      </c>
      <c r="F364" s="13">
        <v>1</v>
      </c>
      <c r="G364" s="13">
        <v>1</v>
      </c>
      <c r="H364" s="13">
        <v>0</v>
      </c>
      <c r="I364" s="13">
        <v>1</v>
      </c>
      <c r="J364" s="13" t="s">
        <v>279</v>
      </c>
      <c r="K364" s="13">
        <v>3</v>
      </c>
      <c r="L364" s="14">
        <v>-2</v>
      </c>
    </row>
    <row r="365" spans="1:12" x14ac:dyDescent="0.3">
      <c r="A365" s="9" t="s">
        <v>362</v>
      </c>
      <c r="B365" s="10" t="s">
        <v>378</v>
      </c>
      <c r="C365" s="10">
        <v>146</v>
      </c>
      <c r="D365" s="10"/>
      <c r="E365" s="10" t="s">
        <v>246</v>
      </c>
      <c r="F365" s="10">
        <v>2</v>
      </c>
      <c r="G365" s="10">
        <v>2</v>
      </c>
      <c r="H365" s="10">
        <v>1</v>
      </c>
      <c r="I365" s="10">
        <v>1</v>
      </c>
      <c r="J365" s="10" t="s">
        <v>54</v>
      </c>
      <c r="K365" s="10">
        <v>1</v>
      </c>
      <c r="L365" s="11">
        <v>1</v>
      </c>
    </row>
    <row r="366" spans="1:12" x14ac:dyDescent="0.3">
      <c r="A366" s="12" t="s">
        <v>362</v>
      </c>
      <c r="B366" s="13" t="s">
        <v>347</v>
      </c>
      <c r="C366" s="13">
        <v>353</v>
      </c>
      <c r="D366" s="13"/>
      <c r="E366" s="13" t="s">
        <v>54</v>
      </c>
      <c r="F366" s="13">
        <v>1</v>
      </c>
      <c r="G366" s="13">
        <v>1</v>
      </c>
      <c r="H366" s="13">
        <v>0</v>
      </c>
      <c r="I366" s="13">
        <v>1</v>
      </c>
      <c r="J366" s="13" t="s">
        <v>54</v>
      </c>
      <c r="K366" s="13">
        <v>1</v>
      </c>
      <c r="L366" s="14">
        <v>0</v>
      </c>
    </row>
    <row r="367" spans="1:12" x14ac:dyDescent="0.3">
      <c r="A367" s="9" t="s">
        <v>362</v>
      </c>
      <c r="B367" s="10" t="s">
        <v>336</v>
      </c>
      <c r="C367" s="10">
        <v>95</v>
      </c>
      <c r="D367" s="10"/>
      <c r="E367" s="10" t="s">
        <v>246</v>
      </c>
      <c r="F367" s="10">
        <v>2</v>
      </c>
      <c r="G367" s="10">
        <v>2</v>
      </c>
      <c r="H367" s="10">
        <v>1</v>
      </c>
      <c r="I367" s="10">
        <v>1</v>
      </c>
      <c r="J367" s="10" t="s">
        <v>54</v>
      </c>
      <c r="K367" s="10">
        <v>1</v>
      </c>
      <c r="L367" s="11">
        <v>1</v>
      </c>
    </row>
    <row r="368" spans="1:12" x14ac:dyDescent="0.3">
      <c r="A368" s="12" t="s">
        <v>362</v>
      </c>
      <c r="B368" s="13" t="s">
        <v>68</v>
      </c>
      <c r="C368" s="13">
        <v>34</v>
      </c>
      <c r="D368" s="13">
        <v>31</v>
      </c>
      <c r="E368" s="13" t="s">
        <v>54</v>
      </c>
      <c r="F368" s="13">
        <v>1</v>
      </c>
      <c r="G368" s="13">
        <v>1</v>
      </c>
      <c r="H368" s="13">
        <v>0</v>
      </c>
      <c r="I368" s="13">
        <v>1</v>
      </c>
      <c r="J368" s="13" t="s">
        <v>246</v>
      </c>
      <c r="K368" s="13">
        <v>2</v>
      </c>
      <c r="L368" s="14">
        <v>-1</v>
      </c>
    </row>
    <row r="369" spans="1:12" x14ac:dyDescent="0.3">
      <c r="A369" s="9" t="s">
        <v>362</v>
      </c>
      <c r="B369" s="10" t="s">
        <v>379</v>
      </c>
      <c r="C369" s="10">
        <v>409</v>
      </c>
      <c r="D369" s="10"/>
      <c r="E369" s="10" t="s">
        <v>54</v>
      </c>
      <c r="F369" s="10">
        <v>1</v>
      </c>
      <c r="G369" s="10">
        <v>1</v>
      </c>
      <c r="H369" s="10">
        <v>0</v>
      </c>
      <c r="I369" s="10">
        <v>1</v>
      </c>
      <c r="J369" s="10" t="s">
        <v>54</v>
      </c>
      <c r="K369" s="10">
        <v>1</v>
      </c>
      <c r="L369" s="11">
        <v>0</v>
      </c>
    </row>
    <row r="370" spans="1:12" x14ac:dyDescent="0.3">
      <c r="A370" s="12" t="s">
        <v>362</v>
      </c>
      <c r="B370" s="13" t="s">
        <v>352</v>
      </c>
      <c r="C370" s="13">
        <v>319</v>
      </c>
      <c r="D370" s="13"/>
      <c r="E370" s="13" t="s">
        <v>246</v>
      </c>
      <c r="F370" s="13">
        <v>2</v>
      </c>
      <c r="G370" s="13">
        <v>2</v>
      </c>
      <c r="H370" s="13">
        <v>1</v>
      </c>
      <c r="I370" s="13">
        <v>1</v>
      </c>
      <c r="J370" s="13" t="s">
        <v>54</v>
      </c>
      <c r="K370" s="13">
        <v>1</v>
      </c>
      <c r="L370" s="14">
        <v>1</v>
      </c>
    </row>
    <row r="371" spans="1:12" x14ac:dyDescent="0.3">
      <c r="A371" s="9" t="s">
        <v>362</v>
      </c>
      <c r="B371" s="10" t="s">
        <v>380</v>
      </c>
      <c r="C371" s="10">
        <v>163</v>
      </c>
      <c r="D371" s="10"/>
      <c r="E371" s="10" t="s">
        <v>54</v>
      </c>
      <c r="F371" s="10">
        <v>1</v>
      </c>
      <c r="G371" s="10">
        <v>1</v>
      </c>
      <c r="H371" s="10">
        <v>0</v>
      </c>
      <c r="I371" s="10">
        <v>1</v>
      </c>
      <c r="J371" s="10" t="s">
        <v>54</v>
      </c>
      <c r="K371" s="10">
        <v>1</v>
      </c>
      <c r="L371" s="11">
        <v>0</v>
      </c>
    </row>
    <row r="372" spans="1:12" x14ac:dyDescent="0.3">
      <c r="A372" s="12" t="s">
        <v>362</v>
      </c>
      <c r="B372" s="13" t="s">
        <v>207</v>
      </c>
      <c r="C372" s="13">
        <v>27</v>
      </c>
      <c r="D372" s="13">
        <v>25</v>
      </c>
      <c r="E372" s="13" t="s">
        <v>246</v>
      </c>
      <c r="F372" s="13">
        <v>2</v>
      </c>
      <c r="G372" s="13">
        <v>2</v>
      </c>
      <c r="H372" s="13">
        <v>1</v>
      </c>
      <c r="I372" s="13">
        <v>1</v>
      </c>
      <c r="J372" s="13" t="s">
        <v>279</v>
      </c>
      <c r="K372" s="13">
        <v>3</v>
      </c>
      <c r="L372" s="14">
        <v>-1</v>
      </c>
    </row>
    <row r="373" spans="1:12" x14ac:dyDescent="0.3">
      <c r="A373" s="9" t="s">
        <v>362</v>
      </c>
      <c r="B373" s="10" t="s">
        <v>76</v>
      </c>
      <c r="C373" s="10">
        <v>8</v>
      </c>
      <c r="D373" s="10">
        <v>8</v>
      </c>
      <c r="E373" s="10" t="s">
        <v>54</v>
      </c>
      <c r="F373" s="10">
        <v>1</v>
      </c>
      <c r="G373" s="10">
        <v>1</v>
      </c>
      <c r="H373" s="10">
        <v>0</v>
      </c>
      <c r="I373" s="10">
        <v>1</v>
      </c>
      <c r="J373" s="10" t="s">
        <v>325</v>
      </c>
      <c r="K373" s="10">
        <v>5</v>
      </c>
      <c r="L373" s="11">
        <v>-4</v>
      </c>
    </row>
    <row r="374" spans="1:12" x14ac:dyDescent="0.3">
      <c r="A374" s="12" t="s">
        <v>362</v>
      </c>
      <c r="B374" s="13" t="s">
        <v>144</v>
      </c>
      <c r="C374" s="13">
        <v>67</v>
      </c>
      <c r="D374" s="13"/>
      <c r="E374" s="13" t="s">
        <v>246</v>
      </c>
      <c r="F374" s="13">
        <v>2</v>
      </c>
      <c r="G374" s="13">
        <v>2</v>
      </c>
      <c r="H374" s="13">
        <v>1</v>
      </c>
      <c r="I374" s="13">
        <v>1</v>
      </c>
      <c r="J374" s="13" t="s">
        <v>54</v>
      </c>
      <c r="K374" s="13">
        <v>1</v>
      </c>
      <c r="L374" s="14">
        <v>1</v>
      </c>
    </row>
    <row r="375" spans="1:12" x14ac:dyDescent="0.3">
      <c r="A375" s="9" t="s">
        <v>362</v>
      </c>
      <c r="B375" s="10" t="s">
        <v>151</v>
      </c>
      <c r="C375" s="10">
        <v>99</v>
      </c>
      <c r="D375" s="10"/>
      <c r="E375" s="10" t="s">
        <v>54</v>
      </c>
      <c r="F375" s="10">
        <v>1</v>
      </c>
      <c r="G375" s="10">
        <v>1</v>
      </c>
      <c r="H375" s="10">
        <v>0</v>
      </c>
      <c r="I375" s="10">
        <v>1</v>
      </c>
      <c r="J375" s="10" t="s">
        <v>54</v>
      </c>
      <c r="K375" s="10">
        <v>1</v>
      </c>
      <c r="L375" s="11">
        <v>0</v>
      </c>
    </row>
    <row r="376" spans="1:12" x14ac:dyDescent="0.3">
      <c r="A376" s="12" t="s">
        <v>362</v>
      </c>
      <c r="B376" s="13" t="s">
        <v>95</v>
      </c>
      <c r="C376" s="13">
        <v>50</v>
      </c>
      <c r="D376" s="13"/>
      <c r="E376" s="13" t="s">
        <v>54</v>
      </c>
      <c r="F376" s="13">
        <v>1</v>
      </c>
      <c r="G376" s="13">
        <v>1</v>
      </c>
      <c r="H376" s="13">
        <v>0</v>
      </c>
      <c r="I376" s="13">
        <v>1</v>
      </c>
      <c r="J376" s="13" t="s">
        <v>246</v>
      </c>
      <c r="K376" s="13">
        <v>2</v>
      </c>
      <c r="L376" s="14">
        <v>-1</v>
      </c>
    </row>
    <row r="377" spans="1:12" x14ac:dyDescent="0.3">
      <c r="A377" s="9" t="s">
        <v>362</v>
      </c>
      <c r="B377" s="10" t="s">
        <v>127</v>
      </c>
      <c r="C377" s="10">
        <v>57</v>
      </c>
      <c r="D377" s="10"/>
      <c r="E377" s="10" t="s">
        <v>279</v>
      </c>
      <c r="F377" s="10">
        <v>3</v>
      </c>
      <c r="G377" s="10">
        <v>3</v>
      </c>
      <c r="H377" s="10">
        <v>2</v>
      </c>
      <c r="I377" s="10">
        <v>1</v>
      </c>
      <c r="J377" s="10" t="s">
        <v>246</v>
      </c>
      <c r="K377" s="10">
        <v>2</v>
      </c>
      <c r="L377" s="11">
        <v>1</v>
      </c>
    </row>
    <row r="378" spans="1:12" x14ac:dyDescent="0.3">
      <c r="A378" s="12" t="s">
        <v>362</v>
      </c>
      <c r="B378" s="13" t="s">
        <v>237</v>
      </c>
      <c r="C378" s="13">
        <v>51</v>
      </c>
      <c r="D378" s="13"/>
      <c r="E378" s="13" t="s">
        <v>54</v>
      </c>
      <c r="F378" s="13">
        <v>1</v>
      </c>
      <c r="G378" s="13">
        <v>1</v>
      </c>
      <c r="H378" s="13">
        <v>0</v>
      </c>
      <c r="I378" s="13">
        <v>1</v>
      </c>
      <c r="J378" s="13" t="s">
        <v>246</v>
      </c>
      <c r="K378" s="13">
        <v>2</v>
      </c>
      <c r="L378" s="14">
        <v>-1</v>
      </c>
    </row>
    <row r="379" spans="1:12" x14ac:dyDescent="0.3">
      <c r="A379" s="9" t="s">
        <v>362</v>
      </c>
      <c r="B379" s="10" t="s">
        <v>104</v>
      </c>
      <c r="C379" s="10">
        <v>149</v>
      </c>
      <c r="D379" s="10"/>
      <c r="E379" s="10" t="s">
        <v>246</v>
      </c>
      <c r="F379" s="10">
        <v>2</v>
      </c>
      <c r="G379" s="10">
        <v>2</v>
      </c>
      <c r="H379" s="10">
        <v>1</v>
      </c>
      <c r="I379" s="10">
        <v>1</v>
      </c>
      <c r="J379" s="10" t="s">
        <v>54</v>
      </c>
      <c r="K379" s="10">
        <v>1</v>
      </c>
      <c r="L379" s="11">
        <v>1</v>
      </c>
    </row>
    <row r="380" spans="1:12" x14ac:dyDescent="0.3">
      <c r="A380" s="12" t="s">
        <v>362</v>
      </c>
      <c r="B380" s="13" t="s">
        <v>381</v>
      </c>
      <c r="C380" s="13">
        <v>252</v>
      </c>
      <c r="D380" s="13"/>
      <c r="E380" s="13" t="s">
        <v>54</v>
      </c>
      <c r="F380" s="13">
        <v>1</v>
      </c>
      <c r="G380" s="13">
        <v>1</v>
      </c>
      <c r="H380" s="13">
        <v>0</v>
      </c>
      <c r="I380" s="13">
        <v>1</v>
      </c>
      <c r="J380" s="13" t="s">
        <v>54</v>
      </c>
      <c r="K380" s="13">
        <v>1</v>
      </c>
      <c r="L380" s="14">
        <v>0</v>
      </c>
    </row>
    <row r="381" spans="1:12" x14ac:dyDescent="0.3">
      <c r="A381" s="9" t="s">
        <v>362</v>
      </c>
      <c r="B381" s="10" t="s">
        <v>162</v>
      </c>
      <c r="C381" s="10">
        <v>25</v>
      </c>
      <c r="D381" s="10">
        <v>23</v>
      </c>
      <c r="E381" s="10" t="s">
        <v>246</v>
      </c>
      <c r="F381" s="10">
        <v>2</v>
      </c>
      <c r="G381" s="10">
        <v>2</v>
      </c>
      <c r="H381" s="10">
        <v>1</v>
      </c>
      <c r="I381" s="10">
        <v>1</v>
      </c>
      <c r="J381" s="10" t="s">
        <v>279</v>
      </c>
      <c r="K381" s="10">
        <v>3</v>
      </c>
      <c r="L381" s="11">
        <v>-1</v>
      </c>
    </row>
    <row r="382" spans="1:12" x14ac:dyDescent="0.3">
      <c r="A382" s="12" t="s">
        <v>362</v>
      </c>
      <c r="B382" s="13" t="s">
        <v>349</v>
      </c>
      <c r="C382" s="13">
        <v>74</v>
      </c>
      <c r="D382" s="13"/>
      <c r="E382" s="13" t="s">
        <v>279</v>
      </c>
      <c r="F382" s="13">
        <v>3</v>
      </c>
      <c r="G382" s="13">
        <v>3</v>
      </c>
      <c r="H382" s="13">
        <v>2</v>
      </c>
      <c r="I382" s="13">
        <v>1</v>
      </c>
      <c r="J382" s="13" t="s">
        <v>54</v>
      </c>
      <c r="K382" s="13">
        <v>1</v>
      </c>
      <c r="L382" s="14">
        <v>2</v>
      </c>
    </row>
    <row r="383" spans="1:12" x14ac:dyDescent="0.3">
      <c r="A383" s="9" t="s">
        <v>362</v>
      </c>
      <c r="B383" s="10" t="s">
        <v>351</v>
      </c>
      <c r="C383" s="10">
        <v>114</v>
      </c>
      <c r="D383" s="10"/>
      <c r="E383" s="10" t="s">
        <v>54</v>
      </c>
      <c r="F383" s="10">
        <v>1</v>
      </c>
      <c r="G383" s="10">
        <v>1</v>
      </c>
      <c r="H383" s="10">
        <v>0</v>
      </c>
      <c r="I383" s="10">
        <v>1</v>
      </c>
      <c r="J383" s="10" t="s">
        <v>54</v>
      </c>
      <c r="K383" s="10">
        <v>1</v>
      </c>
      <c r="L383" s="11">
        <v>0</v>
      </c>
    </row>
    <row r="384" spans="1:12" x14ac:dyDescent="0.3">
      <c r="A384" s="12" t="s">
        <v>362</v>
      </c>
      <c r="B384" s="13" t="s">
        <v>195</v>
      </c>
      <c r="C384" s="13">
        <v>2</v>
      </c>
      <c r="D384" s="13">
        <v>2</v>
      </c>
      <c r="E384" s="13" t="s">
        <v>324</v>
      </c>
      <c r="F384" s="13">
        <v>7</v>
      </c>
      <c r="G384" s="13">
        <v>7</v>
      </c>
      <c r="H384" s="13">
        <v>6</v>
      </c>
      <c r="I384" s="13">
        <v>1</v>
      </c>
      <c r="J384" s="13" t="s">
        <v>324</v>
      </c>
      <c r="K384" s="13">
        <v>7</v>
      </c>
      <c r="L384" s="14">
        <v>0</v>
      </c>
    </row>
    <row r="385" spans="1:12" x14ac:dyDescent="0.3">
      <c r="A385" s="9" t="s">
        <v>362</v>
      </c>
      <c r="B385" s="10" t="s">
        <v>357</v>
      </c>
      <c r="C385" s="10">
        <v>112</v>
      </c>
      <c r="D385" s="10"/>
      <c r="E385" s="10" t="s">
        <v>246</v>
      </c>
      <c r="F385" s="10">
        <v>2</v>
      </c>
      <c r="G385" s="10">
        <v>2</v>
      </c>
      <c r="H385" s="10">
        <v>1</v>
      </c>
      <c r="I385" s="10">
        <v>1</v>
      </c>
      <c r="J385" s="10" t="s">
        <v>54</v>
      </c>
      <c r="K385" s="10">
        <v>1</v>
      </c>
      <c r="L385" s="11">
        <v>1</v>
      </c>
    </row>
    <row r="386" spans="1:12" x14ac:dyDescent="0.3">
      <c r="A386" s="12" t="s">
        <v>362</v>
      </c>
      <c r="B386" s="13" t="s">
        <v>332</v>
      </c>
      <c r="C386" s="13">
        <v>110</v>
      </c>
      <c r="D386" s="13"/>
      <c r="E386" s="13" t="s">
        <v>54</v>
      </c>
      <c r="F386" s="13">
        <v>1</v>
      </c>
      <c r="G386" s="13">
        <v>1</v>
      </c>
      <c r="H386" s="13">
        <v>0</v>
      </c>
      <c r="I386" s="13">
        <v>1</v>
      </c>
      <c r="J386" s="13" t="s">
        <v>54</v>
      </c>
      <c r="K386" s="13">
        <v>1</v>
      </c>
      <c r="L386" s="14">
        <v>0</v>
      </c>
    </row>
    <row r="387" spans="1:12" x14ac:dyDescent="0.3">
      <c r="A387" s="9" t="s">
        <v>362</v>
      </c>
      <c r="B387" s="10" t="s">
        <v>382</v>
      </c>
      <c r="C387" s="10">
        <v>719</v>
      </c>
      <c r="D387" s="10"/>
      <c r="E387" s="10" t="s">
        <v>246</v>
      </c>
      <c r="F387" s="10">
        <v>2</v>
      </c>
      <c r="G387" s="10">
        <v>2</v>
      </c>
      <c r="H387" s="10">
        <v>1</v>
      </c>
      <c r="I387" s="10">
        <v>1</v>
      </c>
      <c r="J387" s="10" t="s">
        <v>54</v>
      </c>
      <c r="K387" s="10">
        <v>1</v>
      </c>
      <c r="L387" s="11">
        <v>1</v>
      </c>
    </row>
    <row r="388" spans="1:12" x14ac:dyDescent="0.3">
      <c r="A388" s="12" t="s">
        <v>362</v>
      </c>
      <c r="B388" s="13" t="s">
        <v>383</v>
      </c>
      <c r="C388" s="13">
        <v>506</v>
      </c>
      <c r="D388" s="13"/>
      <c r="E388" s="13" t="s">
        <v>54</v>
      </c>
      <c r="F388" s="13">
        <v>1</v>
      </c>
      <c r="G388" s="13">
        <v>1</v>
      </c>
      <c r="H388" s="13">
        <v>0</v>
      </c>
      <c r="I388" s="13">
        <v>1</v>
      </c>
      <c r="J388" s="13" t="s">
        <v>54</v>
      </c>
      <c r="K388" s="13">
        <v>1</v>
      </c>
      <c r="L388" s="14">
        <v>0</v>
      </c>
    </row>
    <row r="389" spans="1:12" x14ac:dyDescent="0.3">
      <c r="A389" s="12" t="s">
        <v>28</v>
      </c>
      <c r="B389" s="10" t="s">
        <v>243</v>
      </c>
      <c r="C389" s="10">
        <v>3</v>
      </c>
      <c r="D389" s="10">
        <v>3</v>
      </c>
      <c r="E389" s="10" t="s">
        <v>279</v>
      </c>
      <c r="F389" s="10">
        <v>3</v>
      </c>
      <c r="G389" s="10">
        <v>3</v>
      </c>
      <c r="H389" s="10">
        <v>2</v>
      </c>
      <c r="I389" s="10">
        <v>1</v>
      </c>
      <c r="J389" s="10" t="s">
        <v>326</v>
      </c>
      <c r="K389" s="10">
        <v>6</v>
      </c>
      <c r="L389" s="11">
        <v>-3</v>
      </c>
    </row>
    <row r="390" spans="1:12" x14ac:dyDescent="0.3">
      <c r="A390" s="9" t="s">
        <v>28</v>
      </c>
      <c r="B390" s="13" t="s">
        <v>55</v>
      </c>
      <c r="C390" s="13">
        <v>1</v>
      </c>
      <c r="D390" s="13">
        <v>1</v>
      </c>
      <c r="E390" s="13" t="s">
        <v>324</v>
      </c>
      <c r="F390" s="13">
        <v>7</v>
      </c>
      <c r="G390" s="13">
        <v>7</v>
      </c>
      <c r="H390" s="13">
        <v>6</v>
      </c>
      <c r="I390" s="13">
        <v>1</v>
      </c>
      <c r="J390" s="13" t="s">
        <v>324</v>
      </c>
      <c r="K390" s="13">
        <v>7</v>
      </c>
      <c r="L390" s="14">
        <v>0</v>
      </c>
    </row>
    <row r="391" spans="1:12" x14ac:dyDescent="0.3">
      <c r="A391" s="12" t="s">
        <v>28</v>
      </c>
      <c r="B391" s="10" t="s">
        <v>343</v>
      </c>
      <c r="C391" s="10">
        <v>87</v>
      </c>
      <c r="D391" s="10"/>
      <c r="E391" s="10" t="s">
        <v>54</v>
      </c>
      <c r="F391" s="10">
        <v>1</v>
      </c>
      <c r="G391" s="10">
        <v>1</v>
      </c>
      <c r="H391" s="10">
        <v>0</v>
      </c>
      <c r="I391" s="10">
        <v>1</v>
      </c>
      <c r="J391" s="10" t="s">
        <v>54</v>
      </c>
      <c r="K391" s="10">
        <v>1</v>
      </c>
      <c r="L391" s="11">
        <v>0</v>
      </c>
    </row>
    <row r="392" spans="1:12" x14ac:dyDescent="0.3">
      <c r="A392" s="9" t="s">
        <v>28</v>
      </c>
      <c r="B392" s="13" t="s">
        <v>384</v>
      </c>
      <c r="C392" s="13">
        <v>429</v>
      </c>
      <c r="D392" s="13"/>
      <c r="E392" s="13" t="s">
        <v>246</v>
      </c>
      <c r="F392" s="13">
        <v>2</v>
      </c>
      <c r="G392" s="13">
        <v>2</v>
      </c>
      <c r="H392" s="13">
        <v>1</v>
      </c>
      <c r="I392" s="13">
        <v>1</v>
      </c>
      <c r="J392" s="13" t="s">
        <v>54</v>
      </c>
      <c r="K392" s="13">
        <v>1</v>
      </c>
      <c r="L392" s="14">
        <v>1</v>
      </c>
    </row>
    <row r="393" spans="1:12" x14ac:dyDescent="0.3">
      <c r="A393" s="12" t="s">
        <v>28</v>
      </c>
      <c r="B393" s="10" t="s">
        <v>140</v>
      </c>
      <c r="C393" s="10">
        <v>37</v>
      </c>
      <c r="D393" s="10"/>
      <c r="E393" s="10" t="s">
        <v>246</v>
      </c>
      <c r="F393" s="10">
        <v>2</v>
      </c>
      <c r="G393" s="10">
        <v>2</v>
      </c>
      <c r="H393" s="10">
        <v>1</v>
      </c>
      <c r="I393" s="10">
        <v>1</v>
      </c>
      <c r="J393" s="10" t="s">
        <v>246</v>
      </c>
      <c r="K393" s="10">
        <v>2</v>
      </c>
      <c r="L393" s="11">
        <v>0</v>
      </c>
    </row>
    <row r="394" spans="1:12" x14ac:dyDescent="0.3">
      <c r="A394" s="12" t="s">
        <v>28</v>
      </c>
      <c r="B394" s="13" t="s">
        <v>385</v>
      </c>
      <c r="C394" s="13">
        <v>749</v>
      </c>
      <c r="D394" s="13"/>
      <c r="E394" s="13" t="s">
        <v>54</v>
      </c>
      <c r="F394" s="13">
        <v>1</v>
      </c>
      <c r="G394" s="13">
        <v>1</v>
      </c>
      <c r="H394" s="13">
        <v>0</v>
      </c>
      <c r="I394" s="13">
        <v>1</v>
      </c>
      <c r="J394" s="13" t="s">
        <v>54</v>
      </c>
      <c r="K394" s="13">
        <v>1</v>
      </c>
      <c r="L394" s="14">
        <v>0</v>
      </c>
    </row>
    <row r="395" spans="1:12" x14ac:dyDescent="0.3">
      <c r="A395" s="9" t="s">
        <v>28</v>
      </c>
      <c r="B395" s="10" t="s">
        <v>333</v>
      </c>
      <c r="C395" s="10">
        <v>94</v>
      </c>
      <c r="D395" s="10"/>
      <c r="E395" s="10" t="s">
        <v>54</v>
      </c>
      <c r="F395" s="10">
        <v>1</v>
      </c>
      <c r="G395" s="10">
        <v>1</v>
      </c>
      <c r="H395" s="10">
        <v>0</v>
      </c>
      <c r="I395" s="10">
        <v>1</v>
      </c>
      <c r="J395" s="10" t="s">
        <v>54</v>
      </c>
      <c r="K395" s="10">
        <v>1</v>
      </c>
      <c r="L395" s="11">
        <v>0</v>
      </c>
    </row>
    <row r="396" spans="1:12" x14ac:dyDescent="0.3">
      <c r="A396" s="12" t="s">
        <v>28</v>
      </c>
      <c r="B396" s="13" t="s">
        <v>357</v>
      </c>
      <c r="C396" s="13">
        <v>99</v>
      </c>
      <c r="D396" s="13"/>
      <c r="E396" s="13" t="s">
        <v>246</v>
      </c>
      <c r="F396" s="13">
        <v>2</v>
      </c>
      <c r="G396" s="13">
        <v>2</v>
      </c>
      <c r="H396" s="13">
        <v>1</v>
      </c>
      <c r="I396" s="13">
        <v>1</v>
      </c>
      <c r="J396" s="13" t="s">
        <v>54</v>
      </c>
      <c r="K396" s="13">
        <v>1</v>
      </c>
      <c r="L396" s="14">
        <v>1</v>
      </c>
    </row>
    <row r="397" spans="1:12" x14ac:dyDescent="0.3">
      <c r="A397" s="9" t="s">
        <v>28</v>
      </c>
      <c r="B397" s="10" t="s">
        <v>226</v>
      </c>
      <c r="C397" s="10">
        <v>76</v>
      </c>
      <c r="D397" s="10"/>
      <c r="E397" s="10" t="s">
        <v>54</v>
      </c>
      <c r="F397" s="10">
        <v>1</v>
      </c>
      <c r="G397" s="10">
        <v>1</v>
      </c>
      <c r="H397" s="10">
        <v>0</v>
      </c>
      <c r="I397" s="10">
        <v>1</v>
      </c>
      <c r="J397" s="10" t="s">
        <v>54</v>
      </c>
      <c r="K397" s="10">
        <v>1</v>
      </c>
      <c r="L397" s="11">
        <v>0</v>
      </c>
    </row>
    <row r="398" spans="1:12" x14ac:dyDescent="0.3">
      <c r="A398" s="12" t="s">
        <v>28</v>
      </c>
      <c r="B398" s="13" t="s">
        <v>112</v>
      </c>
      <c r="C398" s="13">
        <v>50</v>
      </c>
      <c r="D398" s="13"/>
      <c r="E398" s="13" t="s">
        <v>54</v>
      </c>
      <c r="F398" s="13">
        <v>1</v>
      </c>
      <c r="G398" s="13">
        <v>1</v>
      </c>
      <c r="H398" s="13">
        <v>0</v>
      </c>
      <c r="I398" s="13">
        <v>1</v>
      </c>
      <c r="J398" s="13" t="s">
        <v>246</v>
      </c>
      <c r="K398" s="13">
        <v>2</v>
      </c>
      <c r="L398" s="14">
        <v>-1</v>
      </c>
    </row>
    <row r="399" spans="1:12" x14ac:dyDescent="0.3">
      <c r="A399" s="12" t="s">
        <v>28</v>
      </c>
      <c r="B399" s="10" t="s">
        <v>121</v>
      </c>
      <c r="C399" s="10">
        <v>29</v>
      </c>
      <c r="D399" s="10">
        <v>27</v>
      </c>
      <c r="E399" s="10" t="s">
        <v>279</v>
      </c>
      <c r="F399" s="10">
        <v>3</v>
      </c>
      <c r="G399" s="10">
        <v>3</v>
      </c>
      <c r="H399" s="10">
        <v>2</v>
      </c>
      <c r="I399" s="10">
        <v>1</v>
      </c>
      <c r="J399" s="10" t="s">
        <v>279</v>
      </c>
      <c r="K399" s="10">
        <v>3</v>
      </c>
      <c r="L399" s="11">
        <v>0</v>
      </c>
    </row>
    <row r="400" spans="1:12" x14ac:dyDescent="0.3">
      <c r="A400" s="9" t="s">
        <v>28</v>
      </c>
      <c r="B400" s="13" t="s">
        <v>331</v>
      </c>
      <c r="C400" s="13">
        <v>61</v>
      </c>
      <c r="D400" s="13"/>
      <c r="E400" s="13" t="s">
        <v>54</v>
      </c>
      <c r="F400" s="13">
        <v>1</v>
      </c>
      <c r="G400" s="13">
        <v>1</v>
      </c>
      <c r="H400" s="13">
        <v>0</v>
      </c>
      <c r="I400" s="13">
        <v>1</v>
      </c>
      <c r="J400" s="13" t="s">
        <v>246</v>
      </c>
      <c r="K400" s="13">
        <v>2</v>
      </c>
      <c r="L400" s="14">
        <v>-1</v>
      </c>
    </row>
    <row r="401" spans="1:12" x14ac:dyDescent="0.3">
      <c r="A401" s="12" t="s">
        <v>28</v>
      </c>
      <c r="B401" s="10" t="s">
        <v>92</v>
      </c>
      <c r="C401" s="10">
        <v>24</v>
      </c>
      <c r="D401" s="10">
        <v>23</v>
      </c>
      <c r="E401" s="10" t="s">
        <v>295</v>
      </c>
      <c r="F401" s="10">
        <v>4</v>
      </c>
      <c r="G401" s="10">
        <v>4</v>
      </c>
      <c r="H401" s="10">
        <v>3</v>
      </c>
      <c r="I401" s="10">
        <v>1</v>
      </c>
      <c r="J401" s="10" t="s">
        <v>279</v>
      </c>
      <c r="K401" s="10">
        <v>3</v>
      </c>
      <c r="L401" s="11">
        <v>1</v>
      </c>
    </row>
    <row r="402" spans="1:12" x14ac:dyDescent="0.3">
      <c r="A402" s="9" t="s">
        <v>28</v>
      </c>
      <c r="B402" s="13" t="s">
        <v>150</v>
      </c>
      <c r="C402" s="13">
        <v>7</v>
      </c>
      <c r="D402" s="13">
        <v>7</v>
      </c>
      <c r="E402" s="13" t="s">
        <v>326</v>
      </c>
      <c r="F402" s="13">
        <v>6</v>
      </c>
      <c r="G402" s="13">
        <v>6</v>
      </c>
      <c r="H402" s="13">
        <v>5</v>
      </c>
      <c r="I402" s="13">
        <v>1</v>
      </c>
      <c r="J402" s="13" t="s">
        <v>325</v>
      </c>
      <c r="K402" s="13">
        <v>5</v>
      </c>
      <c r="L402" s="14">
        <v>1</v>
      </c>
    </row>
    <row r="403" spans="1:12" x14ac:dyDescent="0.3">
      <c r="A403" s="12" t="s">
        <v>28</v>
      </c>
      <c r="B403" s="10" t="s">
        <v>58</v>
      </c>
      <c r="C403" s="10">
        <v>97</v>
      </c>
      <c r="D403" s="10"/>
      <c r="E403" s="10" t="s">
        <v>246</v>
      </c>
      <c r="F403" s="10">
        <v>2</v>
      </c>
      <c r="G403" s="10">
        <v>2</v>
      </c>
      <c r="H403" s="10">
        <v>1</v>
      </c>
      <c r="I403" s="10">
        <v>1</v>
      </c>
      <c r="J403" s="10" t="s">
        <v>54</v>
      </c>
      <c r="K403" s="10">
        <v>1</v>
      </c>
      <c r="L403" s="11">
        <v>1</v>
      </c>
    </row>
    <row r="404" spans="1:12" x14ac:dyDescent="0.3">
      <c r="A404" s="12" t="s">
        <v>28</v>
      </c>
      <c r="B404" s="13" t="s">
        <v>130</v>
      </c>
      <c r="C404" s="13">
        <v>35</v>
      </c>
      <c r="D404" s="13"/>
      <c r="E404" s="13" t="s">
        <v>54</v>
      </c>
      <c r="F404" s="13">
        <v>1</v>
      </c>
      <c r="G404" s="13">
        <v>1</v>
      </c>
      <c r="H404" s="13">
        <v>0</v>
      </c>
      <c r="I404" s="13">
        <v>1</v>
      </c>
      <c r="J404" s="13" t="s">
        <v>246</v>
      </c>
      <c r="K404" s="13">
        <v>2</v>
      </c>
      <c r="L404" s="14">
        <v>-1</v>
      </c>
    </row>
    <row r="405" spans="1:12" x14ac:dyDescent="0.3">
      <c r="A405" s="9" t="s">
        <v>28</v>
      </c>
      <c r="B405" s="10" t="s">
        <v>169</v>
      </c>
      <c r="C405" s="10">
        <v>68</v>
      </c>
      <c r="D405" s="10"/>
      <c r="E405" s="10" t="s">
        <v>246</v>
      </c>
      <c r="F405" s="10">
        <v>2</v>
      </c>
      <c r="G405" s="10">
        <v>2</v>
      </c>
      <c r="H405" s="10">
        <v>1</v>
      </c>
      <c r="I405" s="10">
        <v>1</v>
      </c>
      <c r="J405" s="10" t="s">
        <v>54</v>
      </c>
      <c r="K405" s="10">
        <v>1</v>
      </c>
      <c r="L405" s="11">
        <v>1</v>
      </c>
    </row>
    <row r="406" spans="1:12" x14ac:dyDescent="0.3">
      <c r="A406" s="12" t="s">
        <v>28</v>
      </c>
      <c r="B406" s="13" t="s">
        <v>189</v>
      </c>
      <c r="C406" s="13">
        <v>42</v>
      </c>
      <c r="D406" s="13"/>
      <c r="E406" s="13" t="s">
        <v>246</v>
      </c>
      <c r="F406" s="13">
        <v>2</v>
      </c>
      <c r="G406" s="13">
        <v>2</v>
      </c>
      <c r="H406" s="13">
        <v>1</v>
      </c>
      <c r="I406" s="13">
        <v>1</v>
      </c>
      <c r="J406" s="13" t="s">
        <v>246</v>
      </c>
      <c r="K406" s="13">
        <v>2</v>
      </c>
      <c r="L406" s="14">
        <v>0</v>
      </c>
    </row>
    <row r="407" spans="1:12" x14ac:dyDescent="0.3">
      <c r="A407" s="9" t="s">
        <v>28</v>
      </c>
      <c r="B407" s="10" t="s">
        <v>375</v>
      </c>
      <c r="C407" s="10">
        <v>111</v>
      </c>
      <c r="D407" s="10"/>
      <c r="E407" s="10" t="s">
        <v>54</v>
      </c>
      <c r="F407" s="10">
        <v>1</v>
      </c>
      <c r="G407" s="10">
        <v>1</v>
      </c>
      <c r="H407" s="10">
        <v>0</v>
      </c>
      <c r="I407" s="10">
        <v>1</v>
      </c>
      <c r="J407" s="10" t="s">
        <v>54</v>
      </c>
      <c r="K407" s="10">
        <v>1</v>
      </c>
      <c r="L407" s="11">
        <v>0</v>
      </c>
    </row>
    <row r="408" spans="1:12" x14ac:dyDescent="0.3">
      <c r="A408" s="12" t="s">
        <v>28</v>
      </c>
      <c r="B408" s="13" t="s">
        <v>122</v>
      </c>
      <c r="C408" s="13">
        <v>47</v>
      </c>
      <c r="D408" s="13"/>
      <c r="E408" s="13" t="s">
        <v>54</v>
      </c>
      <c r="F408" s="13">
        <v>1</v>
      </c>
      <c r="G408" s="13">
        <v>1</v>
      </c>
      <c r="H408" s="13">
        <v>0</v>
      </c>
      <c r="I408" s="13">
        <v>1</v>
      </c>
      <c r="J408" s="13" t="s">
        <v>246</v>
      </c>
      <c r="K408" s="13">
        <v>2</v>
      </c>
      <c r="L408" s="14">
        <v>-1</v>
      </c>
    </row>
    <row r="409" spans="1:12" x14ac:dyDescent="0.3">
      <c r="A409" s="12" t="s">
        <v>28</v>
      </c>
      <c r="B409" s="10" t="s">
        <v>219</v>
      </c>
      <c r="C409" s="10">
        <v>14</v>
      </c>
      <c r="D409" s="10">
        <v>14</v>
      </c>
      <c r="E409" s="10" t="s">
        <v>279</v>
      </c>
      <c r="F409" s="10">
        <v>3</v>
      </c>
      <c r="G409" s="10">
        <v>3</v>
      </c>
      <c r="H409" s="10">
        <v>2</v>
      </c>
      <c r="I409" s="10">
        <v>1</v>
      </c>
      <c r="J409" s="10" t="s">
        <v>295</v>
      </c>
      <c r="K409" s="10">
        <v>4</v>
      </c>
      <c r="L409" s="11">
        <v>-1</v>
      </c>
    </row>
    <row r="410" spans="1:12" x14ac:dyDescent="0.3">
      <c r="A410" s="9" t="s">
        <v>28</v>
      </c>
      <c r="B410" s="13" t="s">
        <v>89</v>
      </c>
      <c r="C410" s="13">
        <v>73</v>
      </c>
      <c r="D410" s="13"/>
      <c r="E410" s="13" t="s">
        <v>295</v>
      </c>
      <c r="F410" s="13">
        <v>4</v>
      </c>
      <c r="G410" s="13">
        <v>4</v>
      </c>
      <c r="H410" s="13">
        <v>3</v>
      </c>
      <c r="I410" s="13">
        <v>1</v>
      </c>
      <c r="J410" s="13" t="s">
        <v>54</v>
      </c>
      <c r="K410" s="13">
        <v>1</v>
      </c>
      <c r="L410" s="14">
        <v>3</v>
      </c>
    </row>
    <row r="411" spans="1:12" x14ac:dyDescent="0.3">
      <c r="A411" s="12" t="s">
        <v>28</v>
      </c>
      <c r="B411" s="10" t="s">
        <v>351</v>
      </c>
      <c r="C411" s="10">
        <v>110</v>
      </c>
      <c r="D411" s="10"/>
      <c r="E411" s="10" t="s">
        <v>54</v>
      </c>
      <c r="F411" s="10">
        <v>1</v>
      </c>
      <c r="G411" s="10">
        <v>1</v>
      </c>
      <c r="H411" s="10">
        <v>0</v>
      </c>
      <c r="I411" s="10">
        <v>1</v>
      </c>
      <c r="J411" s="10" t="s">
        <v>54</v>
      </c>
      <c r="K411" s="10">
        <v>1</v>
      </c>
      <c r="L411" s="11">
        <v>0</v>
      </c>
    </row>
    <row r="412" spans="1:12" x14ac:dyDescent="0.3">
      <c r="A412" s="9" t="s">
        <v>28</v>
      </c>
      <c r="B412" s="13" t="s">
        <v>124</v>
      </c>
      <c r="C412" s="13">
        <v>10</v>
      </c>
      <c r="D412" s="13">
        <v>10</v>
      </c>
      <c r="E412" s="13" t="s">
        <v>325</v>
      </c>
      <c r="F412" s="13">
        <v>5</v>
      </c>
      <c r="G412" s="13">
        <v>5</v>
      </c>
      <c r="H412" s="13">
        <v>4</v>
      </c>
      <c r="I412" s="13">
        <v>1</v>
      </c>
      <c r="J412" s="13" t="s">
        <v>295</v>
      </c>
      <c r="K412" s="13">
        <v>4</v>
      </c>
      <c r="L412" s="14">
        <v>1</v>
      </c>
    </row>
    <row r="413" spans="1:12" x14ac:dyDescent="0.3">
      <c r="A413" s="12" t="s">
        <v>28</v>
      </c>
      <c r="B413" s="10" t="s">
        <v>181</v>
      </c>
      <c r="C413" s="10">
        <v>60</v>
      </c>
      <c r="D413" s="10"/>
      <c r="E413" s="10" t="s">
        <v>54</v>
      </c>
      <c r="F413" s="10">
        <v>1</v>
      </c>
      <c r="G413" s="10">
        <v>1</v>
      </c>
      <c r="H413" s="10">
        <v>0</v>
      </c>
      <c r="I413" s="10">
        <v>1</v>
      </c>
      <c r="J413" s="10" t="s">
        <v>246</v>
      </c>
      <c r="K413" s="10">
        <v>2</v>
      </c>
      <c r="L413" s="11">
        <v>-1</v>
      </c>
    </row>
    <row r="414" spans="1:12" x14ac:dyDescent="0.3">
      <c r="A414" s="12" t="s">
        <v>28</v>
      </c>
      <c r="B414" s="13" t="s">
        <v>113</v>
      </c>
      <c r="C414" s="13">
        <v>39</v>
      </c>
      <c r="D414" s="13"/>
      <c r="E414" s="13" t="s">
        <v>54</v>
      </c>
      <c r="F414" s="13">
        <v>1</v>
      </c>
      <c r="G414" s="13">
        <v>1</v>
      </c>
      <c r="H414" s="13">
        <v>0</v>
      </c>
      <c r="I414" s="13">
        <v>1</v>
      </c>
      <c r="J414" s="13" t="s">
        <v>246</v>
      </c>
      <c r="K414" s="13">
        <v>2</v>
      </c>
      <c r="L414" s="14">
        <v>-1</v>
      </c>
    </row>
    <row r="415" spans="1:12" x14ac:dyDescent="0.3">
      <c r="A415" s="9" t="s">
        <v>28</v>
      </c>
      <c r="B415" s="10" t="s">
        <v>208</v>
      </c>
      <c r="C415" s="10">
        <v>145</v>
      </c>
      <c r="D415" s="10"/>
      <c r="E415" s="10" t="s">
        <v>295</v>
      </c>
      <c r="F415" s="10">
        <v>4</v>
      </c>
      <c r="G415" s="10">
        <v>4</v>
      </c>
      <c r="H415" s="10">
        <v>3</v>
      </c>
      <c r="I415" s="10">
        <v>1</v>
      </c>
      <c r="J415" s="10" t="s">
        <v>54</v>
      </c>
      <c r="K415" s="10">
        <v>1</v>
      </c>
      <c r="L415" s="11">
        <v>3</v>
      </c>
    </row>
    <row r="416" spans="1:12" x14ac:dyDescent="0.3">
      <c r="A416" s="12" t="s">
        <v>28</v>
      </c>
      <c r="B416" s="13" t="s">
        <v>228</v>
      </c>
      <c r="C416" s="13">
        <v>70</v>
      </c>
      <c r="D416" s="13"/>
      <c r="E416" s="13" t="s">
        <v>54</v>
      </c>
      <c r="F416" s="13">
        <v>1</v>
      </c>
      <c r="G416" s="13">
        <v>1</v>
      </c>
      <c r="H416" s="13">
        <v>0</v>
      </c>
      <c r="I416" s="13">
        <v>1</v>
      </c>
      <c r="J416" s="13" t="s">
        <v>54</v>
      </c>
      <c r="K416" s="13">
        <v>1</v>
      </c>
      <c r="L416" s="14">
        <v>0</v>
      </c>
    </row>
    <row r="417" spans="1:12" x14ac:dyDescent="0.3">
      <c r="A417" s="9" t="s">
        <v>28</v>
      </c>
      <c r="B417" s="10" t="s">
        <v>213</v>
      </c>
      <c r="C417" s="10">
        <v>107</v>
      </c>
      <c r="D417" s="10"/>
      <c r="E417" s="10" t="s">
        <v>54</v>
      </c>
      <c r="F417" s="10">
        <v>1</v>
      </c>
      <c r="G417" s="10">
        <v>1</v>
      </c>
      <c r="H417" s="10">
        <v>0</v>
      </c>
      <c r="I417" s="10">
        <v>1</v>
      </c>
      <c r="J417" s="10" t="s">
        <v>54</v>
      </c>
      <c r="K417" s="10">
        <v>1</v>
      </c>
      <c r="L417" s="11">
        <v>0</v>
      </c>
    </row>
    <row r="418" spans="1:12" x14ac:dyDescent="0.3">
      <c r="A418" s="12" t="s">
        <v>28</v>
      </c>
      <c r="B418" s="13" t="s">
        <v>104</v>
      </c>
      <c r="C418" s="13">
        <v>91</v>
      </c>
      <c r="D418" s="13"/>
      <c r="E418" s="13" t="s">
        <v>246</v>
      </c>
      <c r="F418" s="13">
        <v>2</v>
      </c>
      <c r="G418" s="13">
        <v>2</v>
      </c>
      <c r="H418" s="13">
        <v>1</v>
      </c>
      <c r="I418" s="13">
        <v>1</v>
      </c>
      <c r="J418" s="13" t="s">
        <v>54</v>
      </c>
      <c r="K418" s="13">
        <v>1</v>
      </c>
      <c r="L418" s="14">
        <v>1</v>
      </c>
    </row>
    <row r="419" spans="1:12" x14ac:dyDescent="0.3">
      <c r="A419" s="12" t="s">
        <v>28</v>
      </c>
      <c r="B419" s="10" t="s">
        <v>180</v>
      </c>
      <c r="C419" s="10">
        <v>93</v>
      </c>
      <c r="D419" s="10"/>
      <c r="E419" s="10" t="s">
        <v>54</v>
      </c>
      <c r="F419" s="10">
        <v>1</v>
      </c>
      <c r="G419" s="10">
        <v>1</v>
      </c>
      <c r="H419" s="10">
        <v>0</v>
      </c>
      <c r="I419" s="10">
        <v>1</v>
      </c>
      <c r="J419" s="10" t="s">
        <v>54</v>
      </c>
      <c r="K419" s="10">
        <v>1</v>
      </c>
      <c r="L419" s="11">
        <v>0</v>
      </c>
    </row>
    <row r="420" spans="1:12" x14ac:dyDescent="0.3">
      <c r="A420" s="9" t="s">
        <v>28</v>
      </c>
      <c r="B420" s="13" t="s">
        <v>341</v>
      </c>
      <c r="C420" s="13">
        <v>122</v>
      </c>
      <c r="D420" s="13"/>
      <c r="E420" s="13" t="s">
        <v>54</v>
      </c>
      <c r="F420" s="13">
        <v>1</v>
      </c>
      <c r="G420" s="13">
        <v>1</v>
      </c>
      <c r="H420" s="13">
        <v>0</v>
      </c>
      <c r="I420" s="13">
        <v>1</v>
      </c>
      <c r="J420" s="13" t="s">
        <v>54</v>
      </c>
      <c r="K420" s="13">
        <v>1</v>
      </c>
      <c r="L420" s="14">
        <v>0</v>
      </c>
    </row>
    <row r="421" spans="1:12" x14ac:dyDescent="0.3">
      <c r="A421" s="12" t="s">
        <v>28</v>
      </c>
      <c r="B421" s="10" t="s">
        <v>65</v>
      </c>
      <c r="C421" s="10">
        <v>26</v>
      </c>
      <c r="D421" s="10">
        <v>24</v>
      </c>
      <c r="E421" s="10" t="s">
        <v>279</v>
      </c>
      <c r="F421" s="10">
        <v>3</v>
      </c>
      <c r="G421" s="10">
        <v>3</v>
      </c>
      <c r="H421" s="10">
        <v>2</v>
      </c>
      <c r="I421" s="10">
        <v>1</v>
      </c>
      <c r="J421" s="10" t="s">
        <v>279</v>
      </c>
      <c r="K421" s="10">
        <v>3</v>
      </c>
      <c r="L421" s="11">
        <v>0</v>
      </c>
    </row>
    <row r="422" spans="1:12" x14ac:dyDescent="0.3">
      <c r="A422" s="9" t="s">
        <v>28</v>
      </c>
      <c r="B422" s="13" t="s">
        <v>171</v>
      </c>
      <c r="C422" s="13">
        <v>121</v>
      </c>
      <c r="D422" s="13"/>
      <c r="E422" s="13" t="s">
        <v>54</v>
      </c>
      <c r="F422" s="13">
        <v>1</v>
      </c>
      <c r="G422" s="13">
        <v>1</v>
      </c>
      <c r="H422" s="13">
        <v>0</v>
      </c>
      <c r="I422" s="13">
        <v>1</v>
      </c>
      <c r="J422" s="13" t="s">
        <v>54</v>
      </c>
      <c r="K422" s="13">
        <v>1</v>
      </c>
      <c r="L422" s="14">
        <v>0</v>
      </c>
    </row>
    <row r="423" spans="1:12" x14ac:dyDescent="0.3">
      <c r="A423" s="12" t="s">
        <v>28</v>
      </c>
      <c r="B423" s="10" t="s">
        <v>118</v>
      </c>
      <c r="C423" s="10">
        <v>113</v>
      </c>
      <c r="D423" s="10"/>
      <c r="E423" s="10" t="s">
        <v>246</v>
      </c>
      <c r="F423" s="10">
        <v>2</v>
      </c>
      <c r="G423" s="10">
        <v>2</v>
      </c>
      <c r="H423" s="10">
        <v>1</v>
      </c>
      <c r="I423" s="10">
        <v>1</v>
      </c>
      <c r="J423" s="10" t="s">
        <v>54</v>
      </c>
      <c r="K423" s="10">
        <v>1</v>
      </c>
      <c r="L423" s="11">
        <v>1</v>
      </c>
    </row>
    <row r="424" spans="1:12" x14ac:dyDescent="0.3">
      <c r="A424" s="12" t="s">
        <v>28</v>
      </c>
      <c r="B424" s="13" t="s">
        <v>85</v>
      </c>
      <c r="C424" s="13">
        <v>33</v>
      </c>
      <c r="D424" s="13">
        <v>31</v>
      </c>
      <c r="E424" s="13" t="s">
        <v>246</v>
      </c>
      <c r="F424" s="13">
        <v>2</v>
      </c>
      <c r="G424" s="13">
        <v>2</v>
      </c>
      <c r="H424" s="13">
        <v>1</v>
      </c>
      <c r="I424" s="13">
        <v>1</v>
      </c>
      <c r="J424" s="13" t="s">
        <v>246</v>
      </c>
      <c r="K424" s="13">
        <v>2</v>
      </c>
      <c r="L424" s="14">
        <v>0</v>
      </c>
    </row>
    <row r="425" spans="1:12" x14ac:dyDescent="0.3">
      <c r="A425" s="9" t="s">
        <v>28</v>
      </c>
      <c r="B425" s="10" t="s">
        <v>210</v>
      </c>
      <c r="C425" s="10">
        <v>84</v>
      </c>
      <c r="D425" s="10"/>
      <c r="E425" s="10" t="s">
        <v>54</v>
      </c>
      <c r="F425" s="10">
        <v>1</v>
      </c>
      <c r="G425" s="10">
        <v>1</v>
      </c>
      <c r="H425" s="10">
        <v>0</v>
      </c>
      <c r="I425" s="10">
        <v>1</v>
      </c>
      <c r="J425" s="10" t="s">
        <v>54</v>
      </c>
      <c r="K425" s="10">
        <v>1</v>
      </c>
      <c r="L425" s="11">
        <v>0</v>
      </c>
    </row>
    <row r="426" spans="1:12" x14ac:dyDescent="0.3">
      <c r="A426" s="12" t="s">
        <v>28</v>
      </c>
      <c r="B426" s="13" t="s">
        <v>199</v>
      </c>
      <c r="C426" s="13">
        <v>46</v>
      </c>
      <c r="D426" s="13"/>
      <c r="E426" s="13" t="s">
        <v>295</v>
      </c>
      <c r="F426" s="13">
        <v>4</v>
      </c>
      <c r="G426" s="13">
        <v>4</v>
      </c>
      <c r="H426" s="13">
        <v>3</v>
      </c>
      <c r="I426" s="13">
        <v>1</v>
      </c>
      <c r="J426" s="13" t="s">
        <v>246</v>
      </c>
      <c r="K426" s="13">
        <v>2</v>
      </c>
      <c r="L426" s="14">
        <v>2</v>
      </c>
    </row>
    <row r="427" spans="1:12" x14ac:dyDescent="0.3">
      <c r="A427" s="9" t="s">
        <v>28</v>
      </c>
      <c r="B427" s="10" t="s">
        <v>153</v>
      </c>
      <c r="C427" s="10">
        <v>118</v>
      </c>
      <c r="D427" s="10"/>
      <c r="E427" s="10" t="s">
        <v>54</v>
      </c>
      <c r="F427" s="10">
        <v>1</v>
      </c>
      <c r="G427" s="10">
        <v>1</v>
      </c>
      <c r="H427" s="10">
        <v>0</v>
      </c>
      <c r="I427" s="10">
        <v>1</v>
      </c>
      <c r="J427" s="10" t="s">
        <v>54</v>
      </c>
      <c r="K427" s="10">
        <v>1</v>
      </c>
      <c r="L427" s="11">
        <v>0</v>
      </c>
    </row>
    <row r="428" spans="1:12" x14ac:dyDescent="0.3">
      <c r="A428" s="12" t="s">
        <v>28</v>
      </c>
      <c r="B428" s="13" t="s">
        <v>61</v>
      </c>
      <c r="C428" s="13">
        <v>55</v>
      </c>
      <c r="D428" s="13"/>
      <c r="E428" s="13" t="s">
        <v>246</v>
      </c>
      <c r="F428" s="13">
        <v>2</v>
      </c>
      <c r="G428" s="13">
        <v>2</v>
      </c>
      <c r="H428" s="13">
        <v>1</v>
      </c>
      <c r="I428" s="13">
        <v>1</v>
      </c>
      <c r="J428" s="13" t="s">
        <v>246</v>
      </c>
      <c r="K428" s="13">
        <v>2</v>
      </c>
      <c r="L428" s="14">
        <v>0</v>
      </c>
    </row>
    <row r="429" spans="1:12" x14ac:dyDescent="0.3">
      <c r="A429" s="12" t="s">
        <v>28</v>
      </c>
      <c r="B429" s="10" t="s">
        <v>95</v>
      </c>
      <c r="C429" s="10">
        <v>49</v>
      </c>
      <c r="D429" s="10"/>
      <c r="E429" s="10" t="s">
        <v>279</v>
      </c>
      <c r="F429" s="10">
        <v>3</v>
      </c>
      <c r="G429" s="10">
        <v>3</v>
      </c>
      <c r="H429" s="10">
        <v>2</v>
      </c>
      <c r="I429" s="10">
        <v>1</v>
      </c>
      <c r="J429" s="10" t="s">
        <v>246</v>
      </c>
      <c r="K429" s="10">
        <v>2</v>
      </c>
      <c r="L429" s="11">
        <v>1</v>
      </c>
    </row>
    <row r="430" spans="1:12" x14ac:dyDescent="0.3">
      <c r="A430" s="9" t="s">
        <v>28</v>
      </c>
      <c r="B430" s="13" t="s">
        <v>363</v>
      </c>
      <c r="C430" s="13">
        <v>119</v>
      </c>
      <c r="D430" s="13"/>
      <c r="E430" s="13" t="s">
        <v>54</v>
      </c>
      <c r="F430" s="13">
        <v>1</v>
      </c>
      <c r="G430" s="13">
        <v>1</v>
      </c>
      <c r="H430" s="13">
        <v>0</v>
      </c>
      <c r="I430" s="13">
        <v>1</v>
      </c>
      <c r="J430" s="13" t="s">
        <v>54</v>
      </c>
      <c r="K430" s="13">
        <v>1</v>
      </c>
      <c r="L430" s="14">
        <v>0</v>
      </c>
    </row>
    <row r="431" spans="1:12" x14ac:dyDescent="0.3">
      <c r="A431" s="12" t="s">
        <v>28</v>
      </c>
      <c r="B431" s="10" t="s">
        <v>220</v>
      </c>
      <c r="C431" s="10">
        <v>79</v>
      </c>
      <c r="D431" s="10"/>
      <c r="E431" s="10" t="s">
        <v>54</v>
      </c>
      <c r="F431" s="10">
        <v>1</v>
      </c>
      <c r="G431" s="10">
        <v>1</v>
      </c>
      <c r="H431" s="10">
        <v>0</v>
      </c>
      <c r="I431" s="10">
        <v>1</v>
      </c>
      <c r="J431" s="10" t="s">
        <v>54</v>
      </c>
      <c r="K431" s="10">
        <v>1</v>
      </c>
      <c r="L431" s="11">
        <v>0</v>
      </c>
    </row>
    <row r="432" spans="1:12" x14ac:dyDescent="0.3">
      <c r="A432" s="9" t="s">
        <v>28</v>
      </c>
      <c r="B432" s="13" t="s">
        <v>174</v>
      </c>
      <c r="C432" s="13">
        <v>5</v>
      </c>
      <c r="D432" s="13">
        <v>5</v>
      </c>
      <c r="E432" s="13" t="s">
        <v>246</v>
      </c>
      <c r="F432" s="13">
        <v>2</v>
      </c>
      <c r="G432" s="13">
        <v>2</v>
      </c>
      <c r="H432" s="13">
        <v>1</v>
      </c>
      <c r="I432" s="13">
        <v>1</v>
      </c>
      <c r="J432" s="13" t="s">
        <v>325</v>
      </c>
      <c r="K432" s="13">
        <v>5</v>
      </c>
      <c r="L432" s="14">
        <v>-3</v>
      </c>
    </row>
    <row r="433" spans="1:12" x14ac:dyDescent="0.3">
      <c r="A433" s="12" t="s">
        <v>28</v>
      </c>
      <c r="B433" s="10" t="s">
        <v>346</v>
      </c>
      <c r="C433" s="10">
        <v>206</v>
      </c>
      <c r="D433" s="10"/>
      <c r="E433" s="10" t="s">
        <v>54</v>
      </c>
      <c r="F433" s="10">
        <v>1</v>
      </c>
      <c r="G433" s="10">
        <v>1</v>
      </c>
      <c r="H433" s="10">
        <v>0</v>
      </c>
      <c r="I433" s="10">
        <v>1</v>
      </c>
      <c r="J433" s="10" t="s">
        <v>54</v>
      </c>
      <c r="K433" s="10">
        <v>1</v>
      </c>
      <c r="L433" s="11">
        <v>0</v>
      </c>
    </row>
    <row r="434" spans="1:12" x14ac:dyDescent="0.3">
      <c r="A434" s="12" t="s">
        <v>28</v>
      </c>
      <c r="B434" s="13" t="s">
        <v>192</v>
      </c>
      <c r="C434" s="13">
        <v>149</v>
      </c>
      <c r="D434" s="13"/>
      <c r="E434" s="13" t="s">
        <v>54</v>
      </c>
      <c r="F434" s="13">
        <v>1</v>
      </c>
      <c r="G434" s="13">
        <v>1</v>
      </c>
      <c r="H434" s="13">
        <v>0</v>
      </c>
      <c r="I434" s="13">
        <v>1</v>
      </c>
      <c r="J434" s="13" t="s">
        <v>54</v>
      </c>
      <c r="K434" s="13">
        <v>1</v>
      </c>
      <c r="L434" s="14">
        <v>0</v>
      </c>
    </row>
    <row r="435" spans="1:12" x14ac:dyDescent="0.3">
      <c r="A435" s="9" t="s">
        <v>28</v>
      </c>
      <c r="B435" s="10" t="s">
        <v>211</v>
      </c>
      <c r="C435" s="10">
        <v>126</v>
      </c>
      <c r="D435" s="10"/>
      <c r="E435" s="10" t="s">
        <v>54</v>
      </c>
      <c r="F435" s="10">
        <v>1</v>
      </c>
      <c r="G435" s="10">
        <v>1</v>
      </c>
      <c r="H435" s="10">
        <v>0</v>
      </c>
      <c r="I435" s="10">
        <v>1</v>
      </c>
      <c r="J435" s="10" t="s">
        <v>54</v>
      </c>
      <c r="K435" s="10">
        <v>1</v>
      </c>
      <c r="L435" s="11">
        <v>0</v>
      </c>
    </row>
    <row r="436" spans="1:12" x14ac:dyDescent="0.3">
      <c r="A436" s="12" t="s">
        <v>28</v>
      </c>
      <c r="B436" s="13" t="s">
        <v>147</v>
      </c>
      <c r="C436" s="13">
        <v>13</v>
      </c>
      <c r="D436" s="13">
        <v>13</v>
      </c>
      <c r="E436" s="13" t="s">
        <v>54</v>
      </c>
      <c r="F436" s="13">
        <v>1</v>
      </c>
      <c r="G436" s="13">
        <v>1</v>
      </c>
      <c r="H436" s="13">
        <v>0</v>
      </c>
      <c r="I436" s="13">
        <v>1</v>
      </c>
      <c r="J436" s="13" t="s">
        <v>295</v>
      </c>
      <c r="K436" s="13">
        <v>4</v>
      </c>
      <c r="L436" s="14">
        <v>-3</v>
      </c>
    </row>
    <row r="437" spans="1:12" x14ac:dyDescent="0.3">
      <c r="A437" s="9" t="s">
        <v>28</v>
      </c>
      <c r="B437" s="10" t="s">
        <v>237</v>
      </c>
      <c r="C437" s="10">
        <v>59</v>
      </c>
      <c r="D437" s="10"/>
      <c r="E437" s="10" t="s">
        <v>246</v>
      </c>
      <c r="F437" s="10">
        <v>2</v>
      </c>
      <c r="G437" s="10">
        <v>2</v>
      </c>
      <c r="H437" s="10">
        <v>1</v>
      </c>
      <c r="I437" s="10">
        <v>1</v>
      </c>
      <c r="J437" s="10" t="s">
        <v>246</v>
      </c>
      <c r="K437" s="10">
        <v>2</v>
      </c>
      <c r="L437" s="11">
        <v>0</v>
      </c>
    </row>
    <row r="438" spans="1:12" x14ac:dyDescent="0.3">
      <c r="A438" s="12" t="s">
        <v>28</v>
      </c>
      <c r="B438" s="13" t="s">
        <v>107</v>
      </c>
      <c r="C438" s="13">
        <v>104</v>
      </c>
      <c r="D438" s="13"/>
      <c r="E438" s="13" t="s">
        <v>54</v>
      </c>
      <c r="F438" s="13">
        <v>1</v>
      </c>
      <c r="G438" s="13">
        <v>1</v>
      </c>
      <c r="H438" s="13">
        <v>0</v>
      </c>
      <c r="I438" s="13">
        <v>1</v>
      </c>
      <c r="J438" s="13" t="s">
        <v>54</v>
      </c>
      <c r="K438" s="13">
        <v>1</v>
      </c>
      <c r="L438" s="14">
        <v>0</v>
      </c>
    </row>
    <row r="439" spans="1:12" x14ac:dyDescent="0.3">
      <c r="A439" s="12" t="s">
        <v>28</v>
      </c>
      <c r="B439" s="10" t="s">
        <v>178</v>
      </c>
      <c r="C439" s="10">
        <v>90</v>
      </c>
      <c r="D439" s="10"/>
      <c r="E439" s="10" t="s">
        <v>246</v>
      </c>
      <c r="F439" s="10">
        <v>2</v>
      </c>
      <c r="G439" s="10">
        <v>2</v>
      </c>
      <c r="H439" s="10">
        <v>1</v>
      </c>
      <c r="I439" s="10">
        <v>1</v>
      </c>
      <c r="J439" s="10" t="s">
        <v>54</v>
      </c>
      <c r="K439" s="10">
        <v>1</v>
      </c>
      <c r="L439" s="11">
        <v>1</v>
      </c>
    </row>
    <row r="440" spans="1:12" x14ac:dyDescent="0.3">
      <c r="A440" s="9" t="s">
        <v>28</v>
      </c>
      <c r="B440" s="13" t="s">
        <v>186</v>
      </c>
      <c r="C440" s="13">
        <v>57</v>
      </c>
      <c r="D440" s="13"/>
      <c r="E440" s="13" t="s">
        <v>246</v>
      </c>
      <c r="F440" s="13">
        <v>2</v>
      </c>
      <c r="G440" s="13">
        <v>2</v>
      </c>
      <c r="H440" s="13">
        <v>1</v>
      </c>
      <c r="I440" s="13">
        <v>1</v>
      </c>
      <c r="J440" s="13" t="s">
        <v>246</v>
      </c>
      <c r="K440" s="13">
        <v>2</v>
      </c>
      <c r="L440" s="14">
        <v>0</v>
      </c>
    </row>
    <row r="441" spans="1:12" x14ac:dyDescent="0.3">
      <c r="A441" s="12" t="s">
        <v>28</v>
      </c>
      <c r="B441" s="10" t="s">
        <v>207</v>
      </c>
      <c r="C441" s="10">
        <v>27</v>
      </c>
      <c r="D441" s="10">
        <v>25</v>
      </c>
      <c r="E441" s="10" t="s">
        <v>326</v>
      </c>
      <c r="F441" s="10">
        <v>6</v>
      </c>
      <c r="G441" s="10">
        <v>6</v>
      </c>
      <c r="H441" s="10">
        <v>5</v>
      </c>
      <c r="I441" s="10">
        <v>1</v>
      </c>
      <c r="J441" s="10" t="s">
        <v>279</v>
      </c>
      <c r="K441" s="10">
        <v>3</v>
      </c>
      <c r="L441" s="11">
        <v>3</v>
      </c>
    </row>
    <row r="442" spans="1:12" x14ac:dyDescent="0.3">
      <c r="A442" s="9" t="s">
        <v>28</v>
      </c>
      <c r="B442" s="13" t="s">
        <v>348</v>
      </c>
      <c r="C442" s="13">
        <v>102</v>
      </c>
      <c r="D442" s="13"/>
      <c r="E442" s="13" t="s">
        <v>54</v>
      </c>
      <c r="F442" s="13">
        <v>1</v>
      </c>
      <c r="G442" s="13">
        <v>1</v>
      </c>
      <c r="H442" s="13">
        <v>0</v>
      </c>
      <c r="I442" s="13">
        <v>1</v>
      </c>
      <c r="J442" s="13" t="s">
        <v>54</v>
      </c>
      <c r="K442" s="13">
        <v>1</v>
      </c>
      <c r="L442" s="14">
        <v>0</v>
      </c>
    </row>
    <row r="443" spans="1:12" x14ac:dyDescent="0.3">
      <c r="A443" s="12" t="s">
        <v>28</v>
      </c>
      <c r="B443" s="10" t="s">
        <v>376</v>
      </c>
      <c r="C443" s="10">
        <v>151</v>
      </c>
      <c r="D443" s="10"/>
      <c r="E443" s="10" t="s">
        <v>54</v>
      </c>
      <c r="F443" s="10">
        <v>1</v>
      </c>
      <c r="G443" s="10">
        <v>1</v>
      </c>
      <c r="H443" s="10">
        <v>0</v>
      </c>
      <c r="I443" s="10">
        <v>1</v>
      </c>
      <c r="J443" s="10" t="s">
        <v>54</v>
      </c>
      <c r="K443" s="10">
        <v>1</v>
      </c>
      <c r="L443" s="11">
        <v>0</v>
      </c>
    </row>
    <row r="444" spans="1:12" x14ac:dyDescent="0.3">
      <c r="A444" s="12" t="s">
        <v>28</v>
      </c>
      <c r="B444" s="13" t="s">
        <v>229</v>
      </c>
      <c r="C444" s="13">
        <v>82</v>
      </c>
      <c r="D444" s="13"/>
      <c r="E444" s="13" t="s">
        <v>246</v>
      </c>
      <c r="F444" s="13">
        <v>2</v>
      </c>
      <c r="G444" s="13">
        <v>2</v>
      </c>
      <c r="H444" s="13">
        <v>1</v>
      </c>
      <c r="I444" s="13">
        <v>1</v>
      </c>
      <c r="J444" s="13" t="s">
        <v>54</v>
      </c>
      <c r="K444" s="13">
        <v>1</v>
      </c>
      <c r="L444" s="14">
        <v>1</v>
      </c>
    </row>
    <row r="445" spans="1:12" x14ac:dyDescent="0.3">
      <c r="A445" s="9" t="s">
        <v>28</v>
      </c>
      <c r="B445" s="10" t="s">
        <v>222</v>
      </c>
      <c r="C445" s="10">
        <v>23</v>
      </c>
      <c r="D445" s="10">
        <v>22</v>
      </c>
      <c r="E445" s="10" t="s">
        <v>54</v>
      </c>
      <c r="F445" s="10">
        <v>1</v>
      </c>
      <c r="G445" s="10">
        <v>1</v>
      </c>
      <c r="H445" s="10">
        <v>0</v>
      </c>
      <c r="I445" s="10">
        <v>1</v>
      </c>
      <c r="J445" s="10" t="s">
        <v>279</v>
      </c>
      <c r="K445" s="10">
        <v>3</v>
      </c>
      <c r="L445" s="11">
        <v>-2</v>
      </c>
    </row>
    <row r="446" spans="1:12" x14ac:dyDescent="0.3">
      <c r="A446" s="12" t="s">
        <v>28</v>
      </c>
      <c r="B446" s="13" t="s">
        <v>88</v>
      </c>
      <c r="C446" s="13">
        <v>9</v>
      </c>
      <c r="D446" s="13">
        <v>9</v>
      </c>
      <c r="E446" s="13" t="s">
        <v>246</v>
      </c>
      <c r="F446" s="13">
        <v>2</v>
      </c>
      <c r="G446" s="13">
        <v>2</v>
      </c>
      <c r="H446" s="13">
        <v>1</v>
      </c>
      <c r="I446" s="13">
        <v>1</v>
      </c>
      <c r="J446" s="13" t="s">
        <v>295</v>
      </c>
      <c r="K446" s="13">
        <v>4</v>
      </c>
      <c r="L446" s="14">
        <v>-2</v>
      </c>
    </row>
    <row r="447" spans="1:12" x14ac:dyDescent="0.3">
      <c r="A447" s="9" t="s">
        <v>28</v>
      </c>
      <c r="B447" s="10" t="s">
        <v>386</v>
      </c>
      <c r="C447" s="10">
        <v>174</v>
      </c>
      <c r="D447" s="10"/>
      <c r="E447" s="10" t="s">
        <v>279</v>
      </c>
      <c r="F447" s="10">
        <v>3</v>
      </c>
      <c r="G447" s="10">
        <v>3</v>
      </c>
      <c r="H447" s="10">
        <v>2</v>
      </c>
      <c r="I447" s="10">
        <v>1</v>
      </c>
      <c r="J447" s="10" t="s">
        <v>54</v>
      </c>
      <c r="K447" s="10">
        <v>1</v>
      </c>
      <c r="L447" s="11">
        <v>2</v>
      </c>
    </row>
    <row r="448" spans="1:12" x14ac:dyDescent="0.3">
      <c r="A448" s="12" t="s">
        <v>28</v>
      </c>
      <c r="B448" s="13" t="s">
        <v>360</v>
      </c>
      <c r="C448" s="13">
        <v>71</v>
      </c>
      <c r="D448" s="13"/>
      <c r="E448" s="13" t="s">
        <v>54</v>
      </c>
      <c r="F448" s="13">
        <v>1</v>
      </c>
      <c r="G448" s="13">
        <v>1</v>
      </c>
      <c r="H448" s="13">
        <v>0</v>
      </c>
      <c r="I448" s="13">
        <v>1</v>
      </c>
      <c r="J448" s="13" t="s">
        <v>54</v>
      </c>
      <c r="K448" s="13">
        <v>1</v>
      </c>
      <c r="L448" s="14">
        <v>0</v>
      </c>
    </row>
    <row r="449" spans="1:12" x14ac:dyDescent="0.3">
      <c r="A449" s="12" t="s">
        <v>28</v>
      </c>
      <c r="B449" s="10" t="s">
        <v>119</v>
      </c>
      <c r="C449" s="10">
        <v>78</v>
      </c>
      <c r="D449" s="10"/>
      <c r="E449" s="10" t="s">
        <v>279</v>
      </c>
      <c r="F449" s="10">
        <v>3</v>
      </c>
      <c r="G449" s="10">
        <v>3</v>
      </c>
      <c r="H449" s="10">
        <v>2</v>
      </c>
      <c r="I449" s="10">
        <v>1</v>
      </c>
      <c r="J449" s="10" t="s">
        <v>54</v>
      </c>
      <c r="K449" s="10">
        <v>1</v>
      </c>
      <c r="L449" s="11">
        <v>2</v>
      </c>
    </row>
    <row r="450" spans="1:12" x14ac:dyDescent="0.3">
      <c r="A450" s="9" t="s">
        <v>28</v>
      </c>
      <c r="B450" s="13" t="s">
        <v>97</v>
      </c>
      <c r="C450" s="13">
        <v>114</v>
      </c>
      <c r="D450" s="13"/>
      <c r="E450" s="13" t="s">
        <v>246</v>
      </c>
      <c r="F450" s="13">
        <v>2</v>
      </c>
      <c r="G450" s="13">
        <v>2</v>
      </c>
      <c r="H450" s="13">
        <v>1</v>
      </c>
      <c r="I450" s="13">
        <v>1</v>
      </c>
      <c r="J450" s="13" t="s">
        <v>54</v>
      </c>
      <c r="K450" s="13">
        <v>1</v>
      </c>
      <c r="L450" s="14">
        <v>1</v>
      </c>
    </row>
    <row r="451" spans="1:12" x14ac:dyDescent="0.3">
      <c r="A451" s="12" t="s">
        <v>28</v>
      </c>
      <c r="B451" s="10" t="s">
        <v>56</v>
      </c>
      <c r="C451" s="10">
        <v>103</v>
      </c>
      <c r="D451" s="10"/>
      <c r="E451" s="10" t="s">
        <v>54</v>
      </c>
      <c r="F451" s="10">
        <v>1</v>
      </c>
      <c r="G451" s="10">
        <v>1</v>
      </c>
      <c r="H451" s="10">
        <v>0</v>
      </c>
      <c r="I451" s="10">
        <v>1</v>
      </c>
      <c r="J451" s="10" t="s">
        <v>54</v>
      </c>
      <c r="K451" s="10">
        <v>1</v>
      </c>
      <c r="L451" s="11">
        <v>0</v>
      </c>
    </row>
    <row r="452" spans="1:12" x14ac:dyDescent="0.3">
      <c r="A452" s="9" t="s">
        <v>28</v>
      </c>
      <c r="B452" s="13" t="s">
        <v>128</v>
      </c>
      <c r="C452" s="13">
        <v>15</v>
      </c>
      <c r="D452" s="13">
        <v>15</v>
      </c>
      <c r="E452" s="13" t="s">
        <v>295</v>
      </c>
      <c r="F452" s="13">
        <v>4</v>
      </c>
      <c r="G452" s="13">
        <v>4</v>
      </c>
      <c r="H452" s="13">
        <v>3</v>
      </c>
      <c r="I452" s="13">
        <v>1</v>
      </c>
      <c r="J452" s="13" t="s">
        <v>295</v>
      </c>
      <c r="K452" s="13">
        <v>4</v>
      </c>
      <c r="L452" s="14">
        <v>0</v>
      </c>
    </row>
    <row r="453" spans="1:12" x14ac:dyDescent="0.3">
      <c r="A453" s="12" t="s">
        <v>28</v>
      </c>
      <c r="B453" s="10" t="s">
        <v>74</v>
      </c>
      <c r="C453" s="10">
        <v>36</v>
      </c>
      <c r="D453" s="10"/>
      <c r="E453" s="10" t="s">
        <v>279</v>
      </c>
      <c r="F453" s="10">
        <v>3</v>
      </c>
      <c r="G453" s="10">
        <v>3</v>
      </c>
      <c r="H453" s="10">
        <v>2</v>
      </c>
      <c r="I453" s="10">
        <v>1</v>
      </c>
      <c r="J453" s="10" t="s">
        <v>246</v>
      </c>
      <c r="K453" s="10">
        <v>2</v>
      </c>
      <c r="L453" s="11">
        <v>1</v>
      </c>
    </row>
    <row r="454" spans="1:12" x14ac:dyDescent="0.3">
      <c r="A454" s="12" t="s">
        <v>28</v>
      </c>
      <c r="B454" s="13" t="s">
        <v>387</v>
      </c>
      <c r="C454" s="13">
        <v>124</v>
      </c>
      <c r="D454" s="13"/>
      <c r="E454" s="13" t="s">
        <v>54</v>
      </c>
      <c r="F454" s="13">
        <v>1</v>
      </c>
      <c r="G454" s="13">
        <v>1</v>
      </c>
      <c r="H454" s="13">
        <v>0</v>
      </c>
      <c r="I454" s="13">
        <v>1</v>
      </c>
      <c r="J454" s="13" t="s">
        <v>54</v>
      </c>
      <c r="K454" s="13">
        <v>1</v>
      </c>
      <c r="L454" s="14">
        <v>0</v>
      </c>
    </row>
    <row r="455" spans="1:12" x14ac:dyDescent="0.3">
      <c r="A455" s="9" t="s">
        <v>28</v>
      </c>
      <c r="B455" s="10" t="s">
        <v>101</v>
      </c>
      <c r="C455" s="10">
        <v>92</v>
      </c>
      <c r="D455" s="10"/>
      <c r="E455" s="10" t="s">
        <v>54</v>
      </c>
      <c r="F455" s="10">
        <v>1</v>
      </c>
      <c r="G455" s="10">
        <v>1</v>
      </c>
      <c r="H455" s="10">
        <v>0</v>
      </c>
      <c r="I455" s="10">
        <v>1</v>
      </c>
      <c r="J455" s="10" t="s">
        <v>54</v>
      </c>
      <c r="K455" s="10">
        <v>1</v>
      </c>
      <c r="L455" s="11">
        <v>0</v>
      </c>
    </row>
    <row r="456" spans="1:12" x14ac:dyDescent="0.3">
      <c r="A456" s="12" t="s">
        <v>28</v>
      </c>
      <c r="B456" s="13" t="s">
        <v>151</v>
      </c>
      <c r="C456" s="13">
        <v>106</v>
      </c>
      <c r="D456" s="13"/>
      <c r="E456" s="13" t="s">
        <v>54</v>
      </c>
      <c r="F456" s="13">
        <v>1</v>
      </c>
      <c r="G456" s="13">
        <v>1</v>
      </c>
      <c r="H456" s="13">
        <v>0</v>
      </c>
      <c r="I456" s="13">
        <v>1</v>
      </c>
      <c r="J456" s="13" t="s">
        <v>54</v>
      </c>
      <c r="K456" s="13">
        <v>1</v>
      </c>
      <c r="L456" s="14">
        <v>0</v>
      </c>
    </row>
    <row r="457" spans="1:12" x14ac:dyDescent="0.3">
      <c r="A457" s="9" t="s">
        <v>28</v>
      </c>
      <c r="B457" s="10" t="s">
        <v>339</v>
      </c>
      <c r="C457" s="10">
        <v>132</v>
      </c>
      <c r="D457" s="10"/>
      <c r="E457" s="10" t="s">
        <v>54</v>
      </c>
      <c r="F457" s="10">
        <v>1</v>
      </c>
      <c r="G457" s="10">
        <v>1</v>
      </c>
      <c r="H457" s="10">
        <v>0</v>
      </c>
      <c r="I457" s="10">
        <v>1</v>
      </c>
      <c r="J457" s="10" t="s">
        <v>54</v>
      </c>
      <c r="K457" s="10">
        <v>1</v>
      </c>
      <c r="L457" s="11">
        <v>0</v>
      </c>
    </row>
    <row r="458" spans="1:12" x14ac:dyDescent="0.3">
      <c r="A458" s="12" t="s">
        <v>28</v>
      </c>
      <c r="B458" s="13" t="s">
        <v>383</v>
      </c>
      <c r="C458" s="13">
        <v>436</v>
      </c>
      <c r="D458" s="13"/>
      <c r="E458" s="13" t="s">
        <v>295</v>
      </c>
      <c r="F458" s="13">
        <v>4</v>
      </c>
      <c r="G458" s="13">
        <v>4</v>
      </c>
      <c r="H458" s="13">
        <v>3</v>
      </c>
      <c r="I458" s="13">
        <v>1</v>
      </c>
      <c r="J458" s="13" t="s">
        <v>54</v>
      </c>
      <c r="K458" s="13">
        <v>1</v>
      </c>
      <c r="L458" s="14">
        <v>3</v>
      </c>
    </row>
    <row r="459" spans="1:12" x14ac:dyDescent="0.3">
      <c r="A459" s="12" t="s">
        <v>28</v>
      </c>
      <c r="B459" s="10" t="s">
        <v>240</v>
      </c>
      <c r="C459" s="10">
        <v>64</v>
      </c>
      <c r="D459" s="10"/>
      <c r="E459" s="10" t="s">
        <v>54</v>
      </c>
      <c r="F459" s="10">
        <v>1</v>
      </c>
      <c r="G459" s="10">
        <v>1</v>
      </c>
      <c r="H459" s="10">
        <v>0</v>
      </c>
      <c r="I459" s="10">
        <v>1</v>
      </c>
      <c r="J459" s="10" t="s">
        <v>246</v>
      </c>
      <c r="K459" s="10">
        <v>2</v>
      </c>
      <c r="L459" s="11">
        <v>-1</v>
      </c>
    </row>
    <row r="460" spans="1:12" x14ac:dyDescent="0.3">
      <c r="A460" s="9" t="s">
        <v>28</v>
      </c>
      <c r="B460" s="13" t="s">
        <v>91</v>
      </c>
      <c r="C460" s="13">
        <v>19</v>
      </c>
      <c r="D460" s="13">
        <v>19</v>
      </c>
      <c r="E460" s="13" t="s">
        <v>246</v>
      </c>
      <c r="F460" s="13">
        <v>2</v>
      </c>
      <c r="G460" s="13">
        <v>2</v>
      </c>
      <c r="H460" s="13">
        <v>1</v>
      </c>
      <c r="I460" s="13">
        <v>1</v>
      </c>
      <c r="J460" s="13" t="s">
        <v>279</v>
      </c>
      <c r="K460" s="13">
        <v>3</v>
      </c>
      <c r="L460" s="14">
        <v>-1</v>
      </c>
    </row>
    <row r="461" spans="1:12" x14ac:dyDescent="0.3">
      <c r="A461" s="12" t="s">
        <v>28</v>
      </c>
      <c r="B461" s="10" t="s">
        <v>125</v>
      </c>
      <c r="C461" s="10">
        <v>62</v>
      </c>
      <c r="D461" s="10"/>
      <c r="E461" s="10" t="s">
        <v>54</v>
      </c>
      <c r="F461" s="10">
        <v>1</v>
      </c>
      <c r="G461" s="10">
        <v>1</v>
      </c>
      <c r="H461" s="10">
        <v>0</v>
      </c>
      <c r="I461" s="10">
        <v>1</v>
      </c>
      <c r="J461" s="10" t="s">
        <v>246</v>
      </c>
      <c r="K461" s="10">
        <v>2</v>
      </c>
      <c r="L461" s="11">
        <v>-1</v>
      </c>
    </row>
    <row r="462" spans="1:12" x14ac:dyDescent="0.3">
      <c r="A462" s="9" t="s">
        <v>28</v>
      </c>
      <c r="B462" s="13" t="s">
        <v>342</v>
      </c>
      <c r="C462" s="13">
        <v>141</v>
      </c>
      <c r="D462" s="13"/>
      <c r="E462" s="13" t="s">
        <v>54</v>
      </c>
      <c r="F462" s="13">
        <v>1</v>
      </c>
      <c r="G462" s="13">
        <v>1</v>
      </c>
      <c r="H462" s="13">
        <v>0</v>
      </c>
      <c r="I462" s="13">
        <v>1</v>
      </c>
      <c r="J462" s="13" t="s">
        <v>54</v>
      </c>
      <c r="K462" s="13">
        <v>1</v>
      </c>
      <c r="L462" s="14">
        <v>0</v>
      </c>
    </row>
    <row r="463" spans="1:12" x14ac:dyDescent="0.3">
      <c r="A463" s="12" t="s">
        <v>28</v>
      </c>
      <c r="B463" s="10" t="s">
        <v>80</v>
      </c>
      <c r="C463" s="10">
        <v>28</v>
      </c>
      <c r="D463" s="10">
        <v>26</v>
      </c>
      <c r="E463" s="10" t="s">
        <v>246</v>
      </c>
      <c r="F463" s="10">
        <v>2</v>
      </c>
      <c r="G463" s="10">
        <v>2</v>
      </c>
      <c r="H463" s="10">
        <v>1</v>
      </c>
      <c r="I463" s="10">
        <v>1</v>
      </c>
      <c r="J463" s="10" t="s">
        <v>279</v>
      </c>
      <c r="K463" s="10">
        <v>3</v>
      </c>
      <c r="L463" s="11">
        <v>-1</v>
      </c>
    </row>
    <row r="464" spans="1:12" x14ac:dyDescent="0.3">
      <c r="A464" s="12" t="s">
        <v>28</v>
      </c>
      <c r="B464" s="13" t="s">
        <v>190</v>
      </c>
      <c r="C464" s="13">
        <v>38</v>
      </c>
      <c r="D464" s="13"/>
      <c r="E464" s="13" t="s">
        <v>54</v>
      </c>
      <c r="F464" s="13">
        <v>1</v>
      </c>
      <c r="G464" s="13">
        <v>1</v>
      </c>
      <c r="H464" s="13">
        <v>0</v>
      </c>
      <c r="I464" s="13">
        <v>1</v>
      </c>
      <c r="J464" s="13" t="s">
        <v>246</v>
      </c>
      <c r="K464" s="13">
        <v>2</v>
      </c>
      <c r="L464" s="14">
        <v>-1</v>
      </c>
    </row>
    <row r="465" spans="1:12" x14ac:dyDescent="0.3">
      <c r="A465" s="9" t="s">
        <v>28</v>
      </c>
      <c r="B465" s="10" t="s">
        <v>109</v>
      </c>
      <c r="C465" s="10">
        <v>56</v>
      </c>
      <c r="D465" s="10"/>
      <c r="E465" s="10" t="s">
        <v>279</v>
      </c>
      <c r="F465" s="10">
        <v>3</v>
      </c>
      <c r="G465" s="10">
        <v>3</v>
      </c>
      <c r="H465" s="10">
        <v>2</v>
      </c>
      <c r="I465" s="10">
        <v>1</v>
      </c>
      <c r="J465" s="10" t="s">
        <v>246</v>
      </c>
      <c r="K465" s="10">
        <v>2</v>
      </c>
      <c r="L465" s="11">
        <v>1</v>
      </c>
    </row>
    <row r="466" spans="1:12" x14ac:dyDescent="0.3">
      <c r="A466" s="12" t="s">
        <v>28</v>
      </c>
      <c r="B466" s="13" t="s">
        <v>156</v>
      </c>
      <c r="C466" s="13">
        <v>66</v>
      </c>
      <c r="D466" s="13"/>
      <c r="E466" s="13" t="s">
        <v>54</v>
      </c>
      <c r="F466" s="13">
        <v>1</v>
      </c>
      <c r="G466" s="13">
        <v>1</v>
      </c>
      <c r="H466" s="13">
        <v>0</v>
      </c>
      <c r="I466" s="13">
        <v>1</v>
      </c>
      <c r="J466" s="13" t="s">
        <v>54</v>
      </c>
      <c r="K466" s="13">
        <v>1</v>
      </c>
      <c r="L466" s="14">
        <v>0</v>
      </c>
    </row>
    <row r="467" spans="1:12" x14ac:dyDescent="0.3">
      <c r="A467" s="9" t="s">
        <v>28</v>
      </c>
      <c r="B467" s="10" t="s">
        <v>334</v>
      </c>
      <c r="C467" s="10">
        <v>65</v>
      </c>
      <c r="D467" s="10"/>
      <c r="E467" s="10" t="s">
        <v>54</v>
      </c>
      <c r="F467" s="10">
        <v>1</v>
      </c>
      <c r="G467" s="10">
        <v>1</v>
      </c>
      <c r="H467" s="10">
        <v>0</v>
      </c>
      <c r="I467" s="10">
        <v>1</v>
      </c>
      <c r="J467" s="10" t="s">
        <v>54</v>
      </c>
      <c r="K467" s="10">
        <v>1</v>
      </c>
      <c r="L467" s="11">
        <v>0</v>
      </c>
    </row>
    <row r="468" spans="1:12" x14ac:dyDescent="0.3">
      <c r="A468" s="12" t="s">
        <v>28</v>
      </c>
      <c r="B468" s="13" t="s">
        <v>378</v>
      </c>
      <c r="C468" s="13">
        <v>112</v>
      </c>
      <c r="D468" s="13"/>
      <c r="E468" s="13" t="s">
        <v>246</v>
      </c>
      <c r="F468" s="13">
        <v>2</v>
      </c>
      <c r="G468" s="13">
        <v>2</v>
      </c>
      <c r="H468" s="13">
        <v>1</v>
      </c>
      <c r="I468" s="13">
        <v>1</v>
      </c>
      <c r="J468" s="13" t="s">
        <v>54</v>
      </c>
      <c r="K468" s="13">
        <v>1</v>
      </c>
      <c r="L468" s="14">
        <v>1</v>
      </c>
    </row>
    <row r="469" spans="1:12" x14ac:dyDescent="0.3">
      <c r="A469" s="12" t="s">
        <v>28</v>
      </c>
      <c r="B469" s="10" t="s">
        <v>165</v>
      </c>
      <c r="C469" s="10">
        <v>125</v>
      </c>
      <c r="D469" s="10"/>
      <c r="E469" s="10" t="s">
        <v>54</v>
      </c>
      <c r="F469" s="10">
        <v>1</v>
      </c>
      <c r="G469" s="10">
        <v>1</v>
      </c>
      <c r="H469" s="10">
        <v>0</v>
      </c>
      <c r="I469" s="10">
        <v>1</v>
      </c>
      <c r="J469" s="10" t="s">
        <v>54</v>
      </c>
      <c r="K469" s="10">
        <v>1</v>
      </c>
      <c r="L469" s="11">
        <v>0</v>
      </c>
    </row>
    <row r="470" spans="1:12" x14ac:dyDescent="0.3">
      <c r="A470" s="9" t="s">
        <v>28</v>
      </c>
      <c r="B470" s="13" t="s">
        <v>100</v>
      </c>
      <c r="C470" s="13">
        <v>8</v>
      </c>
      <c r="D470" s="13">
        <v>8</v>
      </c>
      <c r="E470" s="13" t="s">
        <v>325</v>
      </c>
      <c r="F470" s="13">
        <v>5</v>
      </c>
      <c r="G470" s="13">
        <v>5</v>
      </c>
      <c r="H470" s="13">
        <v>4</v>
      </c>
      <c r="I470" s="13">
        <v>1</v>
      </c>
      <c r="J470" s="13" t="s">
        <v>325</v>
      </c>
      <c r="K470" s="13">
        <v>5</v>
      </c>
      <c r="L470" s="14">
        <v>0</v>
      </c>
    </row>
    <row r="471" spans="1:12" x14ac:dyDescent="0.3">
      <c r="A471" s="12" t="s">
        <v>28</v>
      </c>
      <c r="B471" s="10" t="s">
        <v>168</v>
      </c>
      <c r="C471" s="10">
        <v>51</v>
      </c>
      <c r="D471" s="10"/>
      <c r="E471" s="10" t="s">
        <v>279</v>
      </c>
      <c r="F471" s="10">
        <v>3</v>
      </c>
      <c r="G471" s="10">
        <v>3</v>
      </c>
      <c r="H471" s="10">
        <v>2</v>
      </c>
      <c r="I471" s="10">
        <v>1</v>
      </c>
      <c r="J471" s="10" t="s">
        <v>246</v>
      </c>
      <c r="K471" s="10">
        <v>2</v>
      </c>
      <c r="L471" s="11">
        <v>1</v>
      </c>
    </row>
    <row r="472" spans="1:12" x14ac:dyDescent="0.3">
      <c r="A472" s="9" t="s">
        <v>28</v>
      </c>
      <c r="B472" s="13" t="s">
        <v>144</v>
      </c>
      <c r="C472" s="13">
        <v>48</v>
      </c>
      <c r="D472" s="13"/>
      <c r="E472" s="13" t="s">
        <v>54</v>
      </c>
      <c r="F472" s="13">
        <v>1</v>
      </c>
      <c r="G472" s="13">
        <v>1</v>
      </c>
      <c r="H472" s="13">
        <v>0</v>
      </c>
      <c r="I472" s="13">
        <v>1</v>
      </c>
      <c r="J472" s="13" t="s">
        <v>246</v>
      </c>
      <c r="K472" s="13">
        <v>2</v>
      </c>
      <c r="L472" s="14">
        <v>-1</v>
      </c>
    </row>
    <row r="473" spans="1:12" x14ac:dyDescent="0.3">
      <c r="A473" s="12" t="s">
        <v>28</v>
      </c>
      <c r="B473" s="10" t="s">
        <v>103</v>
      </c>
      <c r="C473" s="10">
        <v>4</v>
      </c>
      <c r="D473" s="10">
        <v>4</v>
      </c>
      <c r="E473" s="10" t="s">
        <v>325</v>
      </c>
      <c r="F473" s="10">
        <v>5</v>
      </c>
      <c r="G473" s="10">
        <v>5</v>
      </c>
      <c r="H473" s="10">
        <v>4</v>
      </c>
      <c r="I473" s="10">
        <v>1</v>
      </c>
      <c r="J473" s="10" t="s">
        <v>326</v>
      </c>
      <c r="K473" s="10">
        <v>6</v>
      </c>
      <c r="L473" s="11">
        <v>-1</v>
      </c>
    </row>
    <row r="474" spans="1:12" x14ac:dyDescent="0.3">
      <c r="A474" s="12" t="s">
        <v>28</v>
      </c>
      <c r="B474" s="13" t="s">
        <v>388</v>
      </c>
      <c r="C474" s="13">
        <v>143</v>
      </c>
      <c r="D474" s="13"/>
      <c r="E474" s="13" t="s">
        <v>246</v>
      </c>
      <c r="F474" s="13">
        <v>2</v>
      </c>
      <c r="G474" s="13">
        <v>2</v>
      </c>
      <c r="H474" s="13">
        <v>1</v>
      </c>
      <c r="I474" s="13">
        <v>1</v>
      </c>
      <c r="J474" s="13" t="s">
        <v>54</v>
      </c>
      <c r="K474" s="13">
        <v>1</v>
      </c>
      <c r="L474" s="14">
        <v>1</v>
      </c>
    </row>
    <row r="475" spans="1:12" x14ac:dyDescent="0.3">
      <c r="A475" s="9" t="s">
        <v>28</v>
      </c>
      <c r="B475" s="10" t="s">
        <v>389</v>
      </c>
      <c r="C475" s="10">
        <v>156</v>
      </c>
      <c r="D475" s="10"/>
      <c r="E475" s="10" t="s">
        <v>54</v>
      </c>
      <c r="F475" s="10">
        <v>1</v>
      </c>
      <c r="G475" s="10">
        <v>1</v>
      </c>
      <c r="H475" s="10">
        <v>0</v>
      </c>
      <c r="I475" s="10">
        <v>1</v>
      </c>
      <c r="J475" s="10" t="s">
        <v>54</v>
      </c>
      <c r="K475" s="10">
        <v>1</v>
      </c>
      <c r="L475" s="11">
        <v>0</v>
      </c>
    </row>
    <row r="476" spans="1:12" x14ac:dyDescent="0.3">
      <c r="A476" s="12" t="s">
        <v>28</v>
      </c>
      <c r="B476" s="13" t="s">
        <v>136</v>
      </c>
      <c r="C476" s="13">
        <v>17</v>
      </c>
      <c r="D476" s="13">
        <v>17</v>
      </c>
      <c r="E476" s="13" t="s">
        <v>279</v>
      </c>
      <c r="F476" s="13">
        <v>3</v>
      </c>
      <c r="G476" s="13">
        <v>3</v>
      </c>
      <c r="H476" s="13">
        <v>2</v>
      </c>
      <c r="I476" s="13">
        <v>1</v>
      </c>
      <c r="J476" s="13" t="s">
        <v>279</v>
      </c>
      <c r="K476" s="13">
        <v>3</v>
      </c>
      <c r="L476" s="14">
        <v>0</v>
      </c>
    </row>
    <row r="477" spans="1:12" x14ac:dyDescent="0.3">
      <c r="A477" s="9" t="s">
        <v>28</v>
      </c>
      <c r="B477" s="10" t="s">
        <v>183</v>
      </c>
      <c r="C477" s="10">
        <v>86</v>
      </c>
      <c r="D477" s="10"/>
      <c r="E477" s="10" t="s">
        <v>54</v>
      </c>
      <c r="F477" s="10">
        <v>1</v>
      </c>
      <c r="G477" s="10">
        <v>1</v>
      </c>
      <c r="H477" s="10">
        <v>0</v>
      </c>
      <c r="I477" s="10">
        <v>1</v>
      </c>
      <c r="J477" s="10" t="s">
        <v>54</v>
      </c>
      <c r="K477" s="10">
        <v>1</v>
      </c>
      <c r="L477" s="11">
        <v>0</v>
      </c>
    </row>
    <row r="478" spans="1:12" x14ac:dyDescent="0.3">
      <c r="A478" s="12" t="s">
        <v>28</v>
      </c>
      <c r="B478" s="13" t="s">
        <v>110</v>
      </c>
      <c r="C478" s="13">
        <v>54</v>
      </c>
      <c r="D478" s="13"/>
      <c r="E478" s="13" t="s">
        <v>246</v>
      </c>
      <c r="F478" s="13">
        <v>2</v>
      </c>
      <c r="G478" s="13">
        <v>2</v>
      </c>
      <c r="H478" s="13">
        <v>1</v>
      </c>
      <c r="I478" s="13">
        <v>1</v>
      </c>
      <c r="J478" s="13" t="s">
        <v>246</v>
      </c>
      <c r="K478" s="13">
        <v>2</v>
      </c>
      <c r="L478" s="14">
        <v>0</v>
      </c>
    </row>
    <row r="479" spans="1:12" x14ac:dyDescent="0.3">
      <c r="A479" s="12" t="s">
        <v>28</v>
      </c>
      <c r="B479" s="10" t="s">
        <v>137</v>
      </c>
      <c r="C479" s="10">
        <v>77</v>
      </c>
      <c r="D479" s="10"/>
      <c r="E479" s="10" t="s">
        <v>295</v>
      </c>
      <c r="F479" s="10">
        <v>4</v>
      </c>
      <c r="G479" s="10">
        <v>4</v>
      </c>
      <c r="H479" s="10">
        <v>3</v>
      </c>
      <c r="I479" s="10">
        <v>1</v>
      </c>
      <c r="J479" s="10" t="s">
        <v>54</v>
      </c>
      <c r="K479" s="10">
        <v>1</v>
      </c>
      <c r="L479" s="11">
        <v>3</v>
      </c>
    </row>
    <row r="480" spans="1:12" x14ac:dyDescent="0.3">
      <c r="A480" s="9" t="s">
        <v>28</v>
      </c>
      <c r="B480" s="13" t="s">
        <v>79</v>
      </c>
      <c r="C480" s="13">
        <v>30</v>
      </c>
      <c r="D480" s="13">
        <v>28</v>
      </c>
      <c r="E480" s="13" t="s">
        <v>54</v>
      </c>
      <c r="F480" s="13">
        <v>1</v>
      </c>
      <c r="G480" s="13">
        <v>1</v>
      </c>
      <c r="H480" s="13">
        <v>0</v>
      </c>
      <c r="I480" s="13">
        <v>1</v>
      </c>
      <c r="J480" s="13" t="s">
        <v>279</v>
      </c>
      <c r="K480" s="13">
        <v>3</v>
      </c>
      <c r="L480" s="14">
        <v>-2</v>
      </c>
    </row>
    <row r="481" spans="1:12" x14ac:dyDescent="0.3">
      <c r="A481" s="12" t="s">
        <v>28</v>
      </c>
      <c r="B481" s="10" t="s">
        <v>390</v>
      </c>
      <c r="C481" s="10">
        <v>409</v>
      </c>
      <c r="D481" s="10"/>
      <c r="E481" s="10" t="s">
        <v>54</v>
      </c>
      <c r="F481" s="10">
        <v>1</v>
      </c>
      <c r="G481" s="10">
        <v>1</v>
      </c>
      <c r="H481" s="10">
        <v>0</v>
      </c>
      <c r="I481" s="10">
        <v>1</v>
      </c>
      <c r="J481" s="10" t="s">
        <v>54</v>
      </c>
      <c r="K481" s="10">
        <v>1</v>
      </c>
      <c r="L481" s="11">
        <v>0</v>
      </c>
    </row>
    <row r="482" spans="1:12" x14ac:dyDescent="0.3">
      <c r="A482" s="9" t="s">
        <v>28</v>
      </c>
      <c r="B482" s="13" t="s">
        <v>198</v>
      </c>
      <c r="C482" s="13">
        <v>12</v>
      </c>
      <c r="D482" s="13">
        <v>12</v>
      </c>
      <c r="E482" s="13" t="s">
        <v>246</v>
      </c>
      <c r="F482" s="13">
        <v>2</v>
      </c>
      <c r="G482" s="13">
        <v>2</v>
      </c>
      <c r="H482" s="13">
        <v>1</v>
      </c>
      <c r="I482" s="13">
        <v>1</v>
      </c>
      <c r="J482" s="13" t="s">
        <v>295</v>
      </c>
      <c r="K482" s="13">
        <v>4</v>
      </c>
      <c r="L482" s="14">
        <v>-2</v>
      </c>
    </row>
    <row r="483" spans="1:12" x14ac:dyDescent="0.3">
      <c r="A483" s="12" t="s">
        <v>28</v>
      </c>
      <c r="B483" s="10" t="s">
        <v>76</v>
      </c>
      <c r="C483" s="10">
        <v>11</v>
      </c>
      <c r="D483" s="10">
        <v>11</v>
      </c>
      <c r="E483" s="10" t="s">
        <v>246</v>
      </c>
      <c r="F483" s="10">
        <v>2</v>
      </c>
      <c r="G483" s="10">
        <v>2</v>
      </c>
      <c r="H483" s="10">
        <v>1</v>
      </c>
      <c r="I483" s="10">
        <v>1</v>
      </c>
      <c r="J483" s="10" t="s">
        <v>295</v>
      </c>
      <c r="K483" s="10">
        <v>4</v>
      </c>
      <c r="L483" s="11">
        <v>-2</v>
      </c>
    </row>
    <row r="484" spans="1:12" x14ac:dyDescent="0.3">
      <c r="A484" s="12" t="s">
        <v>28</v>
      </c>
      <c r="B484" s="13" t="s">
        <v>68</v>
      </c>
      <c r="C484" s="13">
        <v>31</v>
      </c>
      <c r="D484" s="13">
        <v>29</v>
      </c>
      <c r="E484" s="13" t="s">
        <v>54</v>
      </c>
      <c r="F484" s="13">
        <v>1</v>
      </c>
      <c r="G484" s="13">
        <v>1</v>
      </c>
      <c r="H484" s="13">
        <v>0</v>
      </c>
      <c r="I484" s="13">
        <v>1</v>
      </c>
      <c r="J484" s="13" t="s">
        <v>279</v>
      </c>
      <c r="K484" s="13">
        <v>3</v>
      </c>
      <c r="L484" s="14">
        <v>-2</v>
      </c>
    </row>
    <row r="485" spans="1:12" x14ac:dyDescent="0.3">
      <c r="A485" s="9" t="s">
        <v>28</v>
      </c>
      <c r="B485" s="10" t="s">
        <v>201</v>
      </c>
      <c r="C485" s="10">
        <v>16</v>
      </c>
      <c r="D485" s="10">
        <v>16</v>
      </c>
      <c r="E485" s="10" t="s">
        <v>246</v>
      </c>
      <c r="F485" s="10">
        <v>2</v>
      </c>
      <c r="G485" s="10">
        <v>2</v>
      </c>
      <c r="H485" s="10">
        <v>1</v>
      </c>
      <c r="I485" s="10">
        <v>1</v>
      </c>
      <c r="J485" s="10" t="s">
        <v>295</v>
      </c>
      <c r="K485" s="10">
        <v>4</v>
      </c>
      <c r="L485" s="11">
        <v>-2</v>
      </c>
    </row>
    <row r="486" spans="1:12" x14ac:dyDescent="0.3">
      <c r="A486" s="12" t="s">
        <v>28</v>
      </c>
      <c r="B486" s="13" t="s">
        <v>352</v>
      </c>
      <c r="C486" s="13">
        <v>353</v>
      </c>
      <c r="D486" s="13"/>
      <c r="E486" s="13" t="s">
        <v>246</v>
      </c>
      <c r="F486" s="13">
        <v>2</v>
      </c>
      <c r="G486" s="13">
        <v>2</v>
      </c>
      <c r="H486" s="13">
        <v>1</v>
      </c>
      <c r="I486" s="13">
        <v>1</v>
      </c>
      <c r="J486" s="13" t="s">
        <v>54</v>
      </c>
      <c r="K486" s="13">
        <v>1</v>
      </c>
      <c r="L486" s="14">
        <v>1</v>
      </c>
    </row>
    <row r="487" spans="1:12" x14ac:dyDescent="0.3">
      <c r="A487" s="9" t="s">
        <v>28</v>
      </c>
      <c r="B487" s="10" t="s">
        <v>359</v>
      </c>
      <c r="C487" s="10">
        <v>184</v>
      </c>
      <c r="D487" s="10"/>
      <c r="E487" s="10" t="s">
        <v>279</v>
      </c>
      <c r="F487" s="10">
        <v>3</v>
      </c>
      <c r="G487" s="10">
        <v>3</v>
      </c>
      <c r="H487" s="10">
        <v>2</v>
      </c>
      <c r="I487" s="10">
        <v>1</v>
      </c>
      <c r="J487" s="10" t="s">
        <v>54</v>
      </c>
      <c r="K487" s="10">
        <v>1</v>
      </c>
      <c r="L487" s="11">
        <v>2</v>
      </c>
    </row>
    <row r="488" spans="1:12" x14ac:dyDescent="0.3">
      <c r="A488" s="12" t="s">
        <v>28</v>
      </c>
      <c r="B488" s="13" t="s">
        <v>64</v>
      </c>
      <c r="C488" s="13">
        <v>58</v>
      </c>
      <c r="D488" s="13"/>
      <c r="E488" s="13" t="s">
        <v>246</v>
      </c>
      <c r="F488" s="13">
        <v>2</v>
      </c>
      <c r="G488" s="13">
        <v>2</v>
      </c>
      <c r="H488" s="13">
        <v>1</v>
      </c>
      <c r="I488" s="13">
        <v>1</v>
      </c>
      <c r="J488" s="13" t="s">
        <v>246</v>
      </c>
      <c r="K488" s="13">
        <v>2</v>
      </c>
      <c r="L488" s="14">
        <v>0</v>
      </c>
    </row>
    <row r="489" spans="1:12" x14ac:dyDescent="0.3">
      <c r="A489" s="12" t="s">
        <v>28</v>
      </c>
      <c r="B489" s="10" t="s">
        <v>133</v>
      </c>
      <c r="C489" s="10">
        <v>53</v>
      </c>
      <c r="D489" s="10"/>
      <c r="E489" s="10" t="s">
        <v>54</v>
      </c>
      <c r="F489" s="10">
        <v>1</v>
      </c>
      <c r="G489" s="10">
        <v>1</v>
      </c>
      <c r="H489" s="10">
        <v>0</v>
      </c>
      <c r="I489" s="10">
        <v>1</v>
      </c>
      <c r="J489" s="10" t="s">
        <v>246</v>
      </c>
      <c r="K489" s="10">
        <v>2</v>
      </c>
      <c r="L489" s="11">
        <v>-1</v>
      </c>
    </row>
    <row r="490" spans="1:12" x14ac:dyDescent="0.3">
      <c r="A490" s="9" t="s">
        <v>28</v>
      </c>
      <c r="B490" s="13" t="s">
        <v>127</v>
      </c>
      <c r="C490" s="13">
        <v>44</v>
      </c>
      <c r="D490" s="13"/>
      <c r="E490" s="13" t="s">
        <v>246</v>
      </c>
      <c r="F490" s="13">
        <v>2</v>
      </c>
      <c r="G490" s="13">
        <v>2</v>
      </c>
      <c r="H490" s="13">
        <v>1</v>
      </c>
      <c r="I490" s="13">
        <v>1</v>
      </c>
      <c r="J490" s="13" t="s">
        <v>246</v>
      </c>
      <c r="K490" s="13">
        <v>2</v>
      </c>
      <c r="L490" s="14">
        <v>0</v>
      </c>
    </row>
    <row r="491" spans="1:12" x14ac:dyDescent="0.3">
      <c r="A491" s="12" t="s">
        <v>28</v>
      </c>
      <c r="B491" s="10" t="s">
        <v>139</v>
      </c>
      <c r="C491" s="10">
        <v>41</v>
      </c>
      <c r="D491" s="10"/>
      <c r="E491" s="10" t="s">
        <v>54</v>
      </c>
      <c r="F491" s="10">
        <v>1</v>
      </c>
      <c r="G491" s="10">
        <v>1</v>
      </c>
      <c r="H491" s="10">
        <v>0</v>
      </c>
      <c r="I491" s="10">
        <v>1</v>
      </c>
      <c r="J491" s="10" t="s">
        <v>246</v>
      </c>
      <c r="K491" s="10">
        <v>2</v>
      </c>
      <c r="L491" s="11">
        <v>-1</v>
      </c>
    </row>
    <row r="492" spans="1:12" x14ac:dyDescent="0.3">
      <c r="A492" s="9" t="s">
        <v>28</v>
      </c>
      <c r="B492" s="13" t="s">
        <v>70</v>
      </c>
      <c r="C492" s="13">
        <v>45</v>
      </c>
      <c r="D492" s="13"/>
      <c r="E492" s="13" t="s">
        <v>54</v>
      </c>
      <c r="F492" s="13">
        <v>1</v>
      </c>
      <c r="G492" s="13">
        <v>1</v>
      </c>
      <c r="H492" s="13">
        <v>0</v>
      </c>
      <c r="I492" s="13">
        <v>1</v>
      </c>
      <c r="J492" s="13" t="s">
        <v>246</v>
      </c>
      <c r="K492" s="13">
        <v>2</v>
      </c>
      <c r="L492" s="14">
        <v>-1</v>
      </c>
    </row>
    <row r="493" spans="1:12" x14ac:dyDescent="0.3">
      <c r="A493" s="12" t="s">
        <v>28</v>
      </c>
      <c r="B493" s="10" t="s">
        <v>159</v>
      </c>
      <c r="C493" s="10">
        <v>22</v>
      </c>
      <c r="D493" s="10">
        <v>21</v>
      </c>
      <c r="E493" s="10" t="s">
        <v>295</v>
      </c>
      <c r="F493" s="10">
        <v>4</v>
      </c>
      <c r="G493" s="10">
        <v>4</v>
      </c>
      <c r="H493" s="10">
        <v>3</v>
      </c>
      <c r="I493" s="10">
        <v>1</v>
      </c>
      <c r="J493" s="10" t="s">
        <v>279</v>
      </c>
      <c r="K493" s="10">
        <v>3</v>
      </c>
      <c r="L493" s="11">
        <v>1</v>
      </c>
    </row>
    <row r="494" spans="1:12" x14ac:dyDescent="0.3">
      <c r="A494" s="12" t="s">
        <v>28</v>
      </c>
      <c r="B494" s="13" t="s">
        <v>145</v>
      </c>
      <c r="C494" s="13">
        <v>43</v>
      </c>
      <c r="D494" s="13"/>
      <c r="E494" s="13" t="s">
        <v>54</v>
      </c>
      <c r="F494" s="13">
        <v>1</v>
      </c>
      <c r="G494" s="13">
        <v>1</v>
      </c>
      <c r="H494" s="13">
        <v>0</v>
      </c>
      <c r="I494" s="13">
        <v>1</v>
      </c>
      <c r="J494" s="13" t="s">
        <v>246</v>
      </c>
      <c r="K494" s="13">
        <v>2</v>
      </c>
      <c r="L494" s="14">
        <v>-1</v>
      </c>
    </row>
    <row r="495" spans="1:12" x14ac:dyDescent="0.3">
      <c r="A495" s="9" t="s">
        <v>28</v>
      </c>
      <c r="B495" s="10" t="s">
        <v>86</v>
      </c>
      <c r="C495" s="10">
        <v>83</v>
      </c>
      <c r="D495" s="10"/>
      <c r="E495" s="10" t="s">
        <v>54</v>
      </c>
      <c r="F495" s="10">
        <v>1</v>
      </c>
      <c r="G495" s="10">
        <v>1</v>
      </c>
      <c r="H495" s="10">
        <v>0</v>
      </c>
      <c r="I495" s="10">
        <v>1</v>
      </c>
      <c r="J495" s="10" t="s">
        <v>54</v>
      </c>
      <c r="K495" s="10">
        <v>1</v>
      </c>
      <c r="L495" s="11">
        <v>0</v>
      </c>
    </row>
    <row r="496" spans="1:12" x14ac:dyDescent="0.3">
      <c r="A496" s="12" t="s">
        <v>28</v>
      </c>
      <c r="B496" s="13" t="s">
        <v>116</v>
      </c>
      <c r="C496" s="13">
        <v>32</v>
      </c>
      <c r="D496" s="13">
        <v>30</v>
      </c>
      <c r="E496" s="13" t="s">
        <v>246</v>
      </c>
      <c r="F496" s="13">
        <v>2</v>
      </c>
      <c r="G496" s="13">
        <v>2</v>
      </c>
      <c r="H496" s="13">
        <v>1</v>
      </c>
      <c r="I496" s="13">
        <v>1</v>
      </c>
      <c r="J496" s="13" t="s">
        <v>279</v>
      </c>
      <c r="K496" s="13">
        <v>3</v>
      </c>
      <c r="L496" s="14">
        <v>-1</v>
      </c>
    </row>
    <row r="497" spans="1:12" x14ac:dyDescent="0.3">
      <c r="A497" s="9" t="s">
        <v>28</v>
      </c>
      <c r="B497" s="10" t="s">
        <v>338</v>
      </c>
      <c r="C497" s="10">
        <v>80</v>
      </c>
      <c r="D497" s="10"/>
      <c r="E497" s="10" t="s">
        <v>54</v>
      </c>
      <c r="F497" s="10">
        <v>1</v>
      </c>
      <c r="G497" s="10">
        <v>1</v>
      </c>
      <c r="H497" s="10">
        <v>0</v>
      </c>
      <c r="I497" s="10">
        <v>1</v>
      </c>
      <c r="J497" s="10" t="s">
        <v>54</v>
      </c>
      <c r="K497" s="10">
        <v>1</v>
      </c>
      <c r="L497" s="11">
        <v>0</v>
      </c>
    </row>
    <row r="498" spans="1:12" x14ac:dyDescent="0.3">
      <c r="A498" s="12" t="s">
        <v>28</v>
      </c>
      <c r="B498" s="13" t="s">
        <v>204</v>
      </c>
      <c r="C498" s="13">
        <v>18</v>
      </c>
      <c r="D498" s="13">
        <v>18</v>
      </c>
      <c r="E498" s="13" t="s">
        <v>246</v>
      </c>
      <c r="F498" s="13">
        <v>2</v>
      </c>
      <c r="G498" s="13">
        <v>2</v>
      </c>
      <c r="H498" s="13">
        <v>1</v>
      </c>
      <c r="I498" s="13">
        <v>1</v>
      </c>
      <c r="J498" s="13" t="s">
        <v>279</v>
      </c>
      <c r="K498" s="13">
        <v>3</v>
      </c>
      <c r="L498" s="14">
        <v>-1</v>
      </c>
    </row>
    <row r="499" spans="1:12" x14ac:dyDescent="0.3">
      <c r="A499" s="12" t="s">
        <v>28</v>
      </c>
      <c r="B499" s="10" t="s">
        <v>391</v>
      </c>
      <c r="C499" s="10">
        <v>176</v>
      </c>
      <c r="D499" s="10"/>
      <c r="E499" s="10" t="s">
        <v>279</v>
      </c>
      <c r="F499" s="10">
        <v>3</v>
      </c>
      <c r="G499" s="10">
        <v>3</v>
      </c>
      <c r="H499" s="10">
        <v>2</v>
      </c>
      <c r="I499" s="10">
        <v>1</v>
      </c>
      <c r="J499" s="10" t="s">
        <v>54</v>
      </c>
      <c r="K499" s="10">
        <v>1</v>
      </c>
      <c r="L499" s="11">
        <v>2</v>
      </c>
    </row>
    <row r="500" spans="1:12" x14ac:dyDescent="0.3">
      <c r="A500" s="9" t="s">
        <v>28</v>
      </c>
      <c r="B500" s="13" t="s">
        <v>336</v>
      </c>
      <c r="C500" s="13">
        <v>81</v>
      </c>
      <c r="D500" s="13"/>
      <c r="E500" s="13" t="s">
        <v>54</v>
      </c>
      <c r="F500" s="13">
        <v>1</v>
      </c>
      <c r="G500" s="13">
        <v>1</v>
      </c>
      <c r="H500" s="13">
        <v>0</v>
      </c>
      <c r="I500" s="13">
        <v>1</v>
      </c>
      <c r="J500" s="13" t="s">
        <v>54</v>
      </c>
      <c r="K500" s="13">
        <v>1</v>
      </c>
      <c r="L500" s="14">
        <v>0</v>
      </c>
    </row>
    <row r="501" spans="1:12" x14ac:dyDescent="0.3">
      <c r="A501" s="12" t="s">
        <v>28</v>
      </c>
      <c r="B501" s="10" t="s">
        <v>235</v>
      </c>
      <c r="C501" s="10">
        <v>40</v>
      </c>
      <c r="D501" s="10"/>
      <c r="E501" s="10" t="s">
        <v>54</v>
      </c>
      <c r="F501" s="10">
        <v>1</v>
      </c>
      <c r="G501" s="10">
        <v>1</v>
      </c>
      <c r="H501" s="10">
        <v>0</v>
      </c>
      <c r="I501" s="10">
        <v>1</v>
      </c>
      <c r="J501" s="10" t="s">
        <v>246</v>
      </c>
      <c r="K501" s="10">
        <v>2</v>
      </c>
      <c r="L501" s="11">
        <v>-1</v>
      </c>
    </row>
    <row r="502" spans="1:12" x14ac:dyDescent="0.3">
      <c r="A502" s="9" t="s">
        <v>28</v>
      </c>
      <c r="B502" s="13" t="s">
        <v>340</v>
      </c>
      <c r="C502" s="13">
        <v>101</v>
      </c>
      <c r="D502" s="13"/>
      <c r="E502" s="13" t="s">
        <v>54</v>
      </c>
      <c r="F502" s="13">
        <v>1</v>
      </c>
      <c r="G502" s="13">
        <v>1</v>
      </c>
      <c r="H502" s="13">
        <v>0</v>
      </c>
      <c r="I502" s="13">
        <v>1</v>
      </c>
      <c r="J502" s="13" t="s">
        <v>54</v>
      </c>
      <c r="K502" s="13">
        <v>1</v>
      </c>
      <c r="L502" s="14">
        <v>0</v>
      </c>
    </row>
    <row r="503" spans="1:12" x14ac:dyDescent="0.3">
      <c r="A503" s="12" t="s">
        <v>28</v>
      </c>
      <c r="B503" s="10" t="s">
        <v>115</v>
      </c>
      <c r="C503" s="10">
        <v>6</v>
      </c>
      <c r="D503" s="10">
        <v>6</v>
      </c>
      <c r="E503" s="10" t="s">
        <v>279</v>
      </c>
      <c r="F503" s="10">
        <v>3</v>
      </c>
      <c r="G503" s="10">
        <v>3</v>
      </c>
      <c r="H503" s="10">
        <v>2</v>
      </c>
      <c r="I503" s="10">
        <v>1</v>
      </c>
      <c r="J503" s="10" t="s">
        <v>325</v>
      </c>
      <c r="K503" s="10">
        <v>5</v>
      </c>
      <c r="L503" s="11">
        <v>-2</v>
      </c>
    </row>
    <row r="504" spans="1:12" x14ac:dyDescent="0.3">
      <c r="A504" s="12" t="s">
        <v>28</v>
      </c>
      <c r="B504" s="13" t="s">
        <v>392</v>
      </c>
      <c r="C504" s="13">
        <v>136</v>
      </c>
      <c r="D504" s="13"/>
      <c r="E504" s="13" t="s">
        <v>54</v>
      </c>
      <c r="F504" s="13">
        <v>1</v>
      </c>
      <c r="G504" s="13">
        <v>1</v>
      </c>
      <c r="H504" s="13">
        <v>0</v>
      </c>
      <c r="I504" s="13">
        <v>1</v>
      </c>
      <c r="J504" s="13" t="s">
        <v>54</v>
      </c>
      <c r="K504" s="13">
        <v>1</v>
      </c>
      <c r="L504" s="14">
        <v>0</v>
      </c>
    </row>
    <row r="505" spans="1:12" x14ac:dyDescent="0.3">
      <c r="A505" s="9" t="s">
        <v>28</v>
      </c>
      <c r="B505" s="10" t="s">
        <v>353</v>
      </c>
      <c r="C505" s="10">
        <v>355</v>
      </c>
      <c r="D505" s="10"/>
      <c r="E505" s="10" t="s">
        <v>54</v>
      </c>
      <c r="F505" s="10">
        <v>1</v>
      </c>
      <c r="G505" s="10">
        <v>1</v>
      </c>
      <c r="H505" s="10">
        <v>0</v>
      </c>
      <c r="I505" s="10">
        <v>1</v>
      </c>
      <c r="J505" s="10" t="s">
        <v>54</v>
      </c>
      <c r="K505" s="10">
        <v>1</v>
      </c>
      <c r="L505" s="11">
        <v>0</v>
      </c>
    </row>
    <row r="506" spans="1:12" x14ac:dyDescent="0.3">
      <c r="A506" s="12" t="s">
        <v>28</v>
      </c>
      <c r="B506" s="13" t="s">
        <v>162</v>
      </c>
      <c r="C506" s="13">
        <v>21</v>
      </c>
      <c r="D506" s="13">
        <v>20</v>
      </c>
      <c r="E506" s="13" t="s">
        <v>325</v>
      </c>
      <c r="F506" s="13">
        <v>5</v>
      </c>
      <c r="G506" s="13">
        <v>5</v>
      </c>
      <c r="H506" s="13">
        <v>4</v>
      </c>
      <c r="I506" s="13">
        <v>1</v>
      </c>
      <c r="J506" s="13" t="s">
        <v>279</v>
      </c>
      <c r="K506" s="13">
        <v>3</v>
      </c>
      <c r="L506" s="14">
        <v>2</v>
      </c>
    </row>
    <row r="507" spans="1:12" x14ac:dyDescent="0.3">
      <c r="A507" s="9" t="s">
        <v>28</v>
      </c>
      <c r="B507" s="10" t="s">
        <v>369</v>
      </c>
      <c r="C507" s="10">
        <v>105</v>
      </c>
      <c r="D507" s="10"/>
      <c r="E507" s="10" t="s">
        <v>279</v>
      </c>
      <c r="F507" s="10">
        <v>3</v>
      </c>
      <c r="G507" s="10">
        <v>3</v>
      </c>
      <c r="H507" s="10">
        <v>2</v>
      </c>
      <c r="I507" s="10">
        <v>1</v>
      </c>
      <c r="J507" s="10" t="s">
        <v>54</v>
      </c>
      <c r="K507" s="10">
        <v>1</v>
      </c>
      <c r="L507" s="11">
        <v>2</v>
      </c>
    </row>
    <row r="508" spans="1:12" x14ac:dyDescent="0.3">
      <c r="A508" s="12" t="s">
        <v>28</v>
      </c>
      <c r="B508" s="13" t="s">
        <v>196</v>
      </c>
      <c r="C508" s="13">
        <v>89</v>
      </c>
      <c r="D508" s="13"/>
      <c r="E508" s="13" t="s">
        <v>54</v>
      </c>
      <c r="F508" s="13">
        <v>1</v>
      </c>
      <c r="G508" s="13">
        <v>1</v>
      </c>
      <c r="H508" s="13">
        <v>0</v>
      </c>
      <c r="I508" s="13">
        <v>1</v>
      </c>
      <c r="J508" s="13" t="s">
        <v>54</v>
      </c>
      <c r="K508" s="13">
        <v>1</v>
      </c>
      <c r="L508" s="14">
        <v>0</v>
      </c>
    </row>
    <row r="509" spans="1:12" x14ac:dyDescent="0.3">
      <c r="A509" s="12" t="s">
        <v>28</v>
      </c>
      <c r="B509" s="10" t="s">
        <v>393</v>
      </c>
      <c r="C509" s="10">
        <v>412</v>
      </c>
      <c r="D509" s="10"/>
      <c r="E509" s="10" t="s">
        <v>54</v>
      </c>
      <c r="F509" s="10">
        <v>1</v>
      </c>
      <c r="G509" s="10">
        <v>1</v>
      </c>
      <c r="H509" s="10">
        <v>0</v>
      </c>
      <c r="I509" s="10">
        <v>1</v>
      </c>
      <c r="J509" s="10" t="s">
        <v>54</v>
      </c>
      <c r="K509" s="10">
        <v>1</v>
      </c>
      <c r="L509" s="11">
        <v>0</v>
      </c>
    </row>
    <row r="510" spans="1:12" x14ac:dyDescent="0.3">
      <c r="A510" s="9" t="s">
        <v>28</v>
      </c>
      <c r="B510" s="13" t="s">
        <v>175</v>
      </c>
      <c r="C510" s="13">
        <v>74</v>
      </c>
      <c r="D510" s="13"/>
      <c r="E510" s="13" t="s">
        <v>54</v>
      </c>
      <c r="F510" s="13">
        <v>1</v>
      </c>
      <c r="G510" s="13">
        <v>1</v>
      </c>
      <c r="H510" s="13">
        <v>0</v>
      </c>
      <c r="I510" s="13">
        <v>1</v>
      </c>
      <c r="J510" s="13" t="s">
        <v>54</v>
      </c>
      <c r="K510" s="13">
        <v>1</v>
      </c>
      <c r="L510" s="14">
        <v>0</v>
      </c>
    </row>
    <row r="511" spans="1:12" x14ac:dyDescent="0.3">
      <c r="A511" s="12" t="s">
        <v>28</v>
      </c>
      <c r="B511" s="10" t="s">
        <v>195</v>
      </c>
      <c r="C511" s="10">
        <v>2</v>
      </c>
      <c r="D511" s="10">
        <v>2</v>
      </c>
      <c r="E511" s="10" t="s">
        <v>324</v>
      </c>
      <c r="F511" s="10">
        <v>8</v>
      </c>
      <c r="G511" s="10">
        <v>7</v>
      </c>
      <c r="H511" s="10">
        <v>7</v>
      </c>
      <c r="I511" s="10">
        <v>0</v>
      </c>
      <c r="J511" s="10" t="s">
        <v>324</v>
      </c>
      <c r="K511" s="10">
        <v>7</v>
      </c>
      <c r="L511" s="11">
        <v>1</v>
      </c>
    </row>
    <row r="512" spans="1:12" x14ac:dyDescent="0.3">
      <c r="A512" s="9" t="s">
        <v>28</v>
      </c>
      <c r="B512" s="13" t="s">
        <v>143</v>
      </c>
      <c r="C512" s="13">
        <v>96</v>
      </c>
      <c r="D512" s="13"/>
      <c r="E512" s="13" t="s">
        <v>54</v>
      </c>
      <c r="F512" s="13">
        <v>1</v>
      </c>
      <c r="G512" s="13">
        <v>1</v>
      </c>
      <c r="H512" s="13">
        <v>0</v>
      </c>
      <c r="I512" s="13">
        <v>1</v>
      </c>
      <c r="J512" s="13" t="s">
        <v>54</v>
      </c>
      <c r="K512" s="13">
        <v>1</v>
      </c>
      <c r="L512" s="14">
        <v>0</v>
      </c>
    </row>
    <row r="513" spans="1:12" x14ac:dyDescent="0.3">
      <c r="A513" s="12" t="s">
        <v>28</v>
      </c>
      <c r="B513" s="10" t="s">
        <v>241</v>
      </c>
      <c r="C513" s="10">
        <v>34</v>
      </c>
      <c r="D513" s="10">
        <v>32</v>
      </c>
      <c r="E513" s="10" t="s">
        <v>279</v>
      </c>
      <c r="F513" s="10">
        <v>3</v>
      </c>
      <c r="G513" s="10">
        <v>3</v>
      </c>
      <c r="H513" s="10">
        <v>2</v>
      </c>
      <c r="I513" s="10">
        <v>1</v>
      </c>
      <c r="J513" s="10" t="s">
        <v>246</v>
      </c>
      <c r="K513" s="10">
        <v>2</v>
      </c>
      <c r="L513" s="11">
        <v>1</v>
      </c>
    </row>
    <row r="514" spans="1:12" x14ac:dyDescent="0.3">
      <c r="A514" s="12" t="s">
        <v>28</v>
      </c>
      <c r="B514" s="13" t="s">
        <v>394</v>
      </c>
      <c r="C514" s="13">
        <v>128</v>
      </c>
      <c r="D514" s="13"/>
      <c r="E514" s="13" t="s">
        <v>246</v>
      </c>
      <c r="F514" s="13">
        <v>2</v>
      </c>
      <c r="G514" s="13">
        <v>2</v>
      </c>
      <c r="H514" s="13">
        <v>1</v>
      </c>
      <c r="I514" s="13">
        <v>1</v>
      </c>
      <c r="J514" s="13" t="s">
        <v>54</v>
      </c>
      <c r="K514" s="13">
        <v>1</v>
      </c>
      <c r="L514" s="14">
        <v>1</v>
      </c>
    </row>
    <row r="515" spans="1:12" x14ac:dyDescent="0.3">
      <c r="A515" s="9" t="s">
        <v>28</v>
      </c>
      <c r="B515" s="10" t="s">
        <v>349</v>
      </c>
      <c r="C515" s="10">
        <v>63</v>
      </c>
      <c r="D515" s="10"/>
      <c r="E515" s="10" t="s">
        <v>246</v>
      </c>
      <c r="F515" s="10">
        <v>2</v>
      </c>
      <c r="G515" s="10">
        <v>2</v>
      </c>
      <c r="H515" s="10">
        <v>1</v>
      </c>
      <c r="I515" s="10">
        <v>1</v>
      </c>
      <c r="J515" s="10" t="s">
        <v>246</v>
      </c>
      <c r="K515" s="10">
        <v>2</v>
      </c>
      <c r="L515" s="11">
        <v>0</v>
      </c>
    </row>
    <row r="516" spans="1:12" x14ac:dyDescent="0.3">
      <c r="A516" s="12" t="s">
        <v>395</v>
      </c>
      <c r="B516" s="13" t="s">
        <v>205</v>
      </c>
      <c r="C516" s="13">
        <v>108</v>
      </c>
      <c r="D516" s="13"/>
      <c r="E516" s="13" t="s">
        <v>54</v>
      </c>
      <c r="F516" s="13">
        <v>1</v>
      </c>
      <c r="G516" s="13">
        <v>1</v>
      </c>
      <c r="H516" s="13">
        <v>0</v>
      </c>
      <c r="I516" s="13">
        <v>1</v>
      </c>
      <c r="J516" s="13" t="s">
        <v>54</v>
      </c>
      <c r="K516" s="13">
        <v>1</v>
      </c>
      <c r="L516" s="14">
        <v>0</v>
      </c>
    </row>
  </sheetData>
  <mergeCells count="2">
    <mergeCell ref="A1:L1"/>
    <mergeCell ref="A2:L2"/>
  </mergeCells>
  <phoneticPr fontId="7"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417B-2D44-43BD-A0B3-C1306A3487A4}">
  <dimension ref="A1:G512"/>
  <sheetViews>
    <sheetView zoomScale="80" zoomScaleNormal="80" workbookViewId="0">
      <selection activeCell="L12" sqref="L12"/>
    </sheetView>
  </sheetViews>
  <sheetFormatPr defaultRowHeight="14.4" x14ac:dyDescent="0.3"/>
  <cols>
    <col min="1" max="1" width="17.33203125" style="1" customWidth="1"/>
    <col min="2" max="2" width="12.33203125" style="1" customWidth="1"/>
    <col min="3" max="4" width="26" style="1" bestFit="1" customWidth="1"/>
    <col min="5" max="5" width="20.21875" style="1" customWidth="1"/>
    <col min="6" max="6" width="19.77734375" style="1" customWidth="1"/>
    <col min="7" max="7" width="23.77734375" style="1" bestFit="1" customWidth="1"/>
    <col min="8" max="8" width="14.109375" style="1" customWidth="1"/>
    <col min="9" max="9" width="12.33203125" style="1" customWidth="1"/>
    <col min="10" max="10" width="27.6640625" style="1" customWidth="1"/>
    <col min="11" max="11" width="24.5546875" style="1" customWidth="1"/>
    <col min="12" max="13" width="18.5546875" style="1" customWidth="1"/>
    <col min="14" max="14" width="14.33203125" style="1" customWidth="1"/>
    <col min="15" max="16384" width="8.88671875" style="1"/>
  </cols>
  <sheetData>
    <row r="1" spans="1:7" ht="31.8" thickBot="1" x14ac:dyDescent="0.65">
      <c r="A1" s="56" t="s">
        <v>44</v>
      </c>
      <c r="B1" s="56"/>
      <c r="C1" s="56"/>
      <c r="D1" s="56"/>
      <c r="E1" s="56"/>
      <c r="F1" s="56"/>
      <c r="G1" s="56"/>
    </row>
    <row r="2" spans="1:7" x14ac:dyDescent="0.3">
      <c r="A2" s="55" t="s">
        <v>45</v>
      </c>
      <c r="B2" s="55"/>
      <c r="C2" s="55"/>
      <c r="D2" s="55"/>
      <c r="E2" s="55"/>
      <c r="F2" s="55"/>
      <c r="G2" s="55"/>
    </row>
    <row r="4" spans="1:7" x14ac:dyDescent="0.3">
      <c r="A4" s="1" t="s">
        <v>51</v>
      </c>
      <c r="B4" s="1" t="s">
        <v>46</v>
      </c>
      <c r="C4" s="1" t="s">
        <v>47</v>
      </c>
      <c r="D4" s="1" t="s">
        <v>48</v>
      </c>
      <c r="E4" s="1" t="s">
        <v>49</v>
      </c>
      <c r="F4" s="1" t="s">
        <v>50</v>
      </c>
      <c r="G4" s="1" t="s">
        <v>52</v>
      </c>
    </row>
    <row r="5" spans="1:7" x14ac:dyDescent="0.3">
      <c r="A5" s="1" t="s">
        <v>53</v>
      </c>
      <c r="B5" s="1" t="s">
        <v>54</v>
      </c>
      <c r="C5" s="1" t="s">
        <v>55</v>
      </c>
      <c r="D5" s="1" t="s">
        <v>56</v>
      </c>
      <c r="E5" s="1">
        <v>1</v>
      </c>
      <c r="F5" s="1">
        <v>36</v>
      </c>
      <c r="G5" s="1" t="s">
        <v>57</v>
      </c>
    </row>
    <row r="6" spans="1:7" x14ac:dyDescent="0.3">
      <c r="A6" s="1" t="s">
        <v>53</v>
      </c>
      <c r="B6" s="1" t="s">
        <v>54</v>
      </c>
      <c r="C6" s="1" t="s">
        <v>58</v>
      </c>
      <c r="D6" s="1" t="s">
        <v>59</v>
      </c>
      <c r="E6" s="1">
        <v>173</v>
      </c>
      <c r="F6" s="1">
        <v>113</v>
      </c>
      <c r="G6" s="1" t="s">
        <v>60</v>
      </c>
    </row>
    <row r="7" spans="1:7" x14ac:dyDescent="0.3">
      <c r="A7" s="1" t="s">
        <v>53</v>
      </c>
      <c r="B7" s="1" t="s">
        <v>54</v>
      </c>
      <c r="C7" s="1" t="s">
        <v>61</v>
      </c>
      <c r="D7" s="1" t="s">
        <v>62</v>
      </c>
      <c r="E7" s="1">
        <v>46</v>
      </c>
      <c r="F7" s="1">
        <v>95</v>
      </c>
      <c r="G7" s="1" t="s">
        <v>63</v>
      </c>
    </row>
    <row r="8" spans="1:7" x14ac:dyDescent="0.3">
      <c r="A8" s="1" t="s">
        <v>53</v>
      </c>
      <c r="B8" s="1" t="s">
        <v>54</v>
      </c>
      <c r="C8" s="1" t="s">
        <v>64</v>
      </c>
      <c r="D8" s="1" t="s">
        <v>65</v>
      </c>
      <c r="E8" s="1">
        <v>38</v>
      </c>
      <c r="F8" s="1">
        <v>32</v>
      </c>
      <c r="G8" s="1" t="s">
        <v>66</v>
      </c>
    </row>
    <row r="9" spans="1:7" x14ac:dyDescent="0.3">
      <c r="A9" s="1" t="s">
        <v>53</v>
      </c>
      <c r="B9" s="1" t="s">
        <v>54</v>
      </c>
      <c r="C9" s="1" t="s">
        <v>67</v>
      </c>
      <c r="D9" s="1" t="s">
        <v>68</v>
      </c>
      <c r="E9" s="1">
        <v>17</v>
      </c>
      <c r="F9" s="1">
        <v>40</v>
      </c>
      <c r="G9" s="1" t="s">
        <v>69</v>
      </c>
    </row>
    <row r="10" spans="1:7" x14ac:dyDescent="0.3">
      <c r="A10" s="1" t="s">
        <v>53</v>
      </c>
      <c r="B10" s="1" t="s">
        <v>54</v>
      </c>
      <c r="C10" s="1" t="s">
        <v>70</v>
      </c>
      <c r="D10" s="1" t="s">
        <v>71</v>
      </c>
      <c r="E10" s="1">
        <v>51</v>
      </c>
      <c r="F10" s="1">
        <v>80</v>
      </c>
      <c r="G10" s="1" t="s">
        <v>72</v>
      </c>
    </row>
    <row r="11" spans="1:7" x14ac:dyDescent="0.3">
      <c r="A11" s="1" t="s">
        <v>53</v>
      </c>
      <c r="B11" s="1" t="s">
        <v>54</v>
      </c>
      <c r="C11" s="1" t="s">
        <v>73</v>
      </c>
      <c r="D11" s="1" t="s">
        <v>74</v>
      </c>
      <c r="E11" s="1">
        <v>34</v>
      </c>
      <c r="F11" s="1">
        <v>52</v>
      </c>
      <c r="G11" s="1" t="s">
        <v>75</v>
      </c>
    </row>
    <row r="12" spans="1:7" x14ac:dyDescent="0.3">
      <c r="A12" s="1" t="s">
        <v>53</v>
      </c>
      <c r="B12" s="1" t="s">
        <v>54</v>
      </c>
      <c r="C12" s="1" t="s">
        <v>76</v>
      </c>
      <c r="D12" s="1" t="s">
        <v>77</v>
      </c>
      <c r="E12" s="1">
        <v>13</v>
      </c>
      <c r="F12" s="1">
        <v>49</v>
      </c>
      <c r="G12" s="1" t="s">
        <v>78</v>
      </c>
    </row>
    <row r="13" spans="1:7" x14ac:dyDescent="0.3">
      <c r="A13" s="1" t="s">
        <v>53</v>
      </c>
      <c r="B13" s="1" t="s">
        <v>54</v>
      </c>
      <c r="C13" s="1" t="s">
        <v>79</v>
      </c>
      <c r="D13" s="1" t="s">
        <v>80</v>
      </c>
      <c r="E13" s="1">
        <v>42</v>
      </c>
      <c r="F13" s="1">
        <v>12</v>
      </c>
      <c r="G13" s="1" t="s">
        <v>81</v>
      </c>
    </row>
    <row r="14" spans="1:7" x14ac:dyDescent="0.3">
      <c r="A14" s="1" t="s">
        <v>53</v>
      </c>
      <c r="B14" s="1" t="s">
        <v>54</v>
      </c>
      <c r="C14" s="1" t="s">
        <v>82</v>
      </c>
      <c r="D14" s="1" t="s">
        <v>83</v>
      </c>
      <c r="E14" s="1">
        <v>258</v>
      </c>
      <c r="F14" s="1">
        <v>142</v>
      </c>
      <c r="G14" s="1" t="s">
        <v>84</v>
      </c>
    </row>
    <row r="15" spans="1:7" x14ac:dyDescent="0.3">
      <c r="A15" s="1" t="s">
        <v>53</v>
      </c>
      <c r="B15" s="1" t="s">
        <v>54</v>
      </c>
      <c r="C15" s="1" t="s">
        <v>85</v>
      </c>
      <c r="D15" s="1" t="s">
        <v>86</v>
      </c>
      <c r="E15" s="1">
        <v>86</v>
      </c>
      <c r="F15" s="1">
        <v>83</v>
      </c>
      <c r="G15" s="1" t="s">
        <v>87</v>
      </c>
    </row>
    <row r="16" spans="1:7" x14ac:dyDescent="0.3">
      <c r="A16" s="1" t="s">
        <v>53</v>
      </c>
      <c r="B16" s="1" t="s">
        <v>54</v>
      </c>
      <c r="C16" s="1" t="s">
        <v>88</v>
      </c>
      <c r="D16" s="1" t="s">
        <v>89</v>
      </c>
      <c r="E16" s="1">
        <v>19</v>
      </c>
      <c r="F16" s="1">
        <v>75</v>
      </c>
      <c r="G16" s="1" t="s">
        <v>90</v>
      </c>
    </row>
    <row r="17" spans="1:7" x14ac:dyDescent="0.3">
      <c r="A17" s="1" t="s">
        <v>53</v>
      </c>
      <c r="B17" s="1" t="s">
        <v>54</v>
      </c>
      <c r="C17" s="1" t="s">
        <v>91</v>
      </c>
      <c r="D17" s="1" t="s">
        <v>92</v>
      </c>
      <c r="E17" s="1">
        <v>31</v>
      </c>
      <c r="F17" s="1">
        <v>37</v>
      </c>
      <c r="G17" s="1" t="s">
        <v>93</v>
      </c>
    </row>
    <row r="18" spans="1:7" x14ac:dyDescent="0.3">
      <c r="A18" s="1" t="s">
        <v>53</v>
      </c>
      <c r="B18" s="1" t="s">
        <v>54</v>
      </c>
      <c r="C18" s="1" t="s">
        <v>94</v>
      </c>
      <c r="D18" s="1" t="s">
        <v>95</v>
      </c>
      <c r="E18" s="1">
        <v>73</v>
      </c>
      <c r="F18" s="1">
        <v>60</v>
      </c>
      <c r="G18" s="1" t="s">
        <v>96</v>
      </c>
    </row>
    <row r="19" spans="1:7" x14ac:dyDescent="0.3">
      <c r="A19" s="1" t="s">
        <v>53</v>
      </c>
      <c r="B19" s="1" t="s">
        <v>54</v>
      </c>
      <c r="C19" s="1" t="s">
        <v>97</v>
      </c>
      <c r="D19" s="1" t="s">
        <v>98</v>
      </c>
      <c r="E19" s="1">
        <v>136</v>
      </c>
      <c r="F19" s="1">
        <v>96</v>
      </c>
      <c r="G19" s="1" t="s">
        <v>99</v>
      </c>
    </row>
    <row r="20" spans="1:7" x14ac:dyDescent="0.3">
      <c r="A20" s="1" t="s">
        <v>53</v>
      </c>
      <c r="B20" s="1" t="s">
        <v>54</v>
      </c>
      <c r="C20" s="1" t="s">
        <v>100</v>
      </c>
      <c r="D20" s="1" t="s">
        <v>101</v>
      </c>
      <c r="E20" s="1">
        <v>8</v>
      </c>
      <c r="F20" s="1">
        <v>84</v>
      </c>
      <c r="G20" s="1" t="s">
        <v>102</v>
      </c>
    </row>
    <row r="21" spans="1:7" x14ac:dyDescent="0.3">
      <c r="A21" s="1" t="s">
        <v>53</v>
      </c>
      <c r="B21" s="1" t="s">
        <v>54</v>
      </c>
      <c r="C21" s="1" t="s">
        <v>103</v>
      </c>
      <c r="D21" s="1" t="s">
        <v>104</v>
      </c>
      <c r="E21" s="1">
        <v>4</v>
      </c>
      <c r="G21" s="1" t="s">
        <v>105</v>
      </c>
    </row>
    <row r="22" spans="1:7" x14ac:dyDescent="0.3">
      <c r="A22" s="1" t="s">
        <v>53</v>
      </c>
      <c r="B22" s="1" t="s">
        <v>54</v>
      </c>
      <c r="C22" s="1" t="s">
        <v>106</v>
      </c>
      <c r="D22" s="1" t="s">
        <v>107</v>
      </c>
      <c r="E22" s="1">
        <v>150</v>
      </c>
      <c r="F22" s="1">
        <v>87</v>
      </c>
      <c r="G22" s="1" t="s">
        <v>108</v>
      </c>
    </row>
    <row r="23" spans="1:7" x14ac:dyDescent="0.3">
      <c r="A23" s="1" t="s">
        <v>53</v>
      </c>
      <c r="B23" s="1" t="s">
        <v>54</v>
      </c>
      <c r="C23" s="1" t="s">
        <v>109</v>
      </c>
      <c r="D23" s="1" t="s">
        <v>110</v>
      </c>
      <c r="E23" s="1">
        <v>101</v>
      </c>
      <c r="F23" s="1">
        <v>85</v>
      </c>
      <c r="G23" s="1" t="s">
        <v>111</v>
      </c>
    </row>
    <row r="24" spans="1:7" x14ac:dyDescent="0.3">
      <c r="A24" s="1" t="s">
        <v>53</v>
      </c>
      <c r="B24" s="1" t="s">
        <v>54</v>
      </c>
      <c r="C24" s="1" t="s">
        <v>112</v>
      </c>
      <c r="D24" s="1" t="s">
        <v>113</v>
      </c>
      <c r="E24" s="1">
        <v>41</v>
      </c>
      <c r="F24" s="1">
        <v>30</v>
      </c>
      <c r="G24" s="1" t="s">
        <v>114</v>
      </c>
    </row>
    <row r="25" spans="1:7" x14ac:dyDescent="0.3">
      <c r="A25" s="1" t="s">
        <v>53</v>
      </c>
      <c r="B25" s="1" t="s">
        <v>54</v>
      </c>
      <c r="C25" s="1" t="s">
        <v>115</v>
      </c>
      <c r="D25" s="1" t="s">
        <v>116</v>
      </c>
      <c r="E25" s="1">
        <v>20</v>
      </c>
      <c r="F25" s="1">
        <v>35</v>
      </c>
      <c r="G25" s="1" t="s">
        <v>117</v>
      </c>
    </row>
    <row r="26" spans="1:7" x14ac:dyDescent="0.3">
      <c r="A26" s="1" t="s">
        <v>53</v>
      </c>
      <c r="B26" s="1" t="s">
        <v>54</v>
      </c>
      <c r="C26" s="1" t="s">
        <v>118</v>
      </c>
      <c r="D26" s="1" t="s">
        <v>119</v>
      </c>
      <c r="E26" s="1">
        <v>182</v>
      </c>
      <c r="F26" s="1">
        <v>122</v>
      </c>
      <c r="G26" s="1" t="s">
        <v>120</v>
      </c>
    </row>
    <row r="27" spans="1:7" x14ac:dyDescent="0.3">
      <c r="A27" s="1" t="s">
        <v>53</v>
      </c>
      <c r="B27" s="1" t="s">
        <v>54</v>
      </c>
      <c r="C27" s="1" t="s">
        <v>121</v>
      </c>
      <c r="D27" s="1" t="s">
        <v>122</v>
      </c>
      <c r="E27" s="1">
        <v>56</v>
      </c>
      <c r="F27" s="1">
        <v>53</v>
      </c>
      <c r="G27" s="1" t="s">
        <v>123</v>
      </c>
    </row>
    <row r="28" spans="1:7" x14ac:dyDescent="0.3">
      <c r="A28" s="1" t="s">
        <v>53</v>
      </c>
      <c r="B28" s="1" t="s">
        <v>54</v>
      </c>
      <c r="C28" s="1" t="s">
        <v>124</v>
      </c>
      <c r="D28" s="1" t="s">
        <v>125</v>
      </c>
      <c r="E28" s="1">
        <v>15</v>
      </c>
      <c r="F28" s="1">
        <v>39</v>
      </c>
      <c r="G28" s="1" t="s">
        <v>126</v>
      </c>
    </row>
    <row r="29" spans="1:7" x14ac:dyDescent="0.3">
      <c r="A29" s="1" t="s">
        <v>53</v>
      </c>
      <c r="B29" s="1" t="s">
        <v>54</v>
      </c>
      <c r="C29" s="1" t="s">
        <v>127</v>
      </c>
      <c r="D29" s="1" t="s">
        <v>128</v>
      </c>
      <c r="E29" s="1">
        <v>112</v>
      </c>
      <c r="F29" s="1">
        <v>9</v>
      </c>
      <c r="G29" s="1" t="s">
        <v>129</v>
      </c>
    </row>
    <row r="30" spans="1:7" x14ac:dyDescent="0.3">
      <c r="A30" s="1" t="s">
        <v>53</v>
      </c>
      <c r="B30" s="1" t="s">
        <v>54</v>
      </c>
      <c r="C30" s="1" t="s">
        <v>130</v>
      </c>
      <c r="D30" s="1" t="s">
        <v>131</v>
      </c>
      <c r="E30" s="1">
        <v>55</v>
      </c>
      <c r="F30" s="1">
        <v>156</v>
      </c>
      <c r="G30" s="1" t="s">
        <v>132</v>
      </c>
    </row>
    <row r="31" spans="1:7" x14ac:dyDescent="0.3">
      <c r="A31" s="1" t="s">
        <v>53</v>
      </c>
      <c r="B31" s="1" t="s">
        <v>54</v>
      </c>
      <c r="C31" s="1" t="s">
        <v>133</v>
      </c>
      <c r="D31" s="1" t="s">
        <v>134</v>
      </c>
      <c r="E31" s="1">
        <v>59</v>
      </c>
      <c r="F31" s="1">
        <v>79</v>
      </c>
      <c r="G31" s="1" t="s">
        <v>135</v>
      </c>
    </row>
    <row r="32" spans="1:7" x14ac:dyDescent="0.3">
      <c r="A32" s="1" t="s">
        <v>53</v>
      </c>
      <c r="B32" s="1" t="s">
        <v>54</v>
      </c>
      <c r="C32" s="1" t="s">
        <v>136</v>
      </c>
      <c r="D32" s="1" t="s">
        <v>137</v>
      </c>
      <c r="E32" s="1">
        <v>16</v>
      </c>
      <c r="F32" s="1">
        <v>61</v>
      </c>
      <c r="G32" s="1" t="s">
        <v>138</v>
      </c>
    </row>
    <row r="33" spans="1:7" x14ac:dyDescent="0.3">
      <c r="A33" s="1" t="s">
        <v>53</v>
      </c>
      <c r="B33" s="1" t="s">
        <v>54</v>
      </c>
      <c r="C33" s="1" t="s">
        <v>139</v>
      </c>
      <c r="D33" s="1" t="s">
        <v>140</v>
      </c>
      <c r="E33" s="1">
        <v>69</v>
      </c>
      <c r="F33" s="1">
        <v>24</v>
      </c>
      <c r="G33" s="1" t="s">
        <v>141</v>
      </c>
    </row>
    <row r="34" spans="1:7" x14ac:dyDescent="0.3">
      <c r="A34" s="1" t="s">
        <v>53</v>
      </c>
      <c r="B34" s="1" t="s">
        <v>54</v>
      </c>
      <c r="C34" s="1" t="s">
        <v>142</v>
      </c>
      <c r="D34" s="1" t="s">
        <v>143</v>
      </c>
      <c r="E34" s="1">
        <v>146</v>
      </c>
      <c r="F34" s="1">
        <v>72</v>
      </c>
      <c r="G34" s="1" t="s">
        <v>120</v>
      </c>
    </row>
    <row r="35" spans="1:7" x14ac:dyDescent="0.3">
      <c r="A35" s="1" t="s">
        <v>53</v>
      </c>
      <c r="B35" s="1" t="s">
        <v>54</v>
      </c>
      <c r="C35" s="1" t="s">
        <v>144</v>
      </c>
      <c r="D35" s="1" t="s">
        <v>145</v>
      </c>
      <c r="E35" s="1">
        <v>121</v>
      </c>
      <c r="F35" s="1">
        <v>94</v>
      </c>
      <c r="G35" s="1" t="s">
        <v>146</v>
      </c>
    </row>
    <row r="36" spans="1:7" x14ac:dyDescent="0.3">
      <c r="A36" s="1" t="s">
        <v>53</v>
      </c>
      <c r="B36" s="1" t="s">
        <v>54</v>
      </c>
      <c r="C36" s="1" t="s">
        <v>147</v>
      </c>
      <c r="D36" s="1" t="s">
        <v>148</v>
      </c>
      <c r="E36" s="1">
        <v>5</v>
      </c>
      <c r="F36" s="1">
        <v>418</v>
      </c>
      <c r="G36" s="1" t="s">
        <v>149</v>
      </c>
    </row>
    <row r="37" spans="1:7" x14ac:dyDescent="0.3">
      <c r="A37" s="1" t="s">
        <v>53</v>
      </c>
      <c r="B37" s="1" t="s">
        <v>54</v>
      </c>
      <c r="C37" s="1" t="s">
        <v>150</v>
      </c>
      <c r="D37" s="1" t="s">
        <v>151</v>
      </c>
      <c r="E37" s="1">
        <v>7</v>
      </c>
      <c r="F37" s="1">
        <v>107</v>
      </c>
      <c r="G37" s="1" t="s">
        <v>152</v>
      </c>
    </row>
    <row r="38" spans="1:7" x14ac:dyDescent="0.3">
      <c r="A38" s="1" t="s">
        <v>53</v>
      </c>
      <c r="B38" s="1" t="s">
        <v>54</v>
      </c>
      <c r="C38" s="1" t="s">
        <v>153</v>
      </c>
      <c r="D38" s="1" t="s">
        <v>154</v>
      </c>
      <c r="E38" s="1">
        <v>125</v>
      </c>
      <c r="F38" s="1">
        <v>97</v>
      </c>
      <c r="G38" s="1" t="s">
        <v>155</v>
      </c>
    </row>
    <row r="39" spans="1:7" x14ac:dyDescent="0.3">
      <c r="A39" s="1" t="s">
        <v>53</v>
      </c>
      <c r="B39" s="1" t="s">
        <v>54</v>
      </c>
      <c r="C39" s="1" t="s">
        <v>156</v>
      </c>
      <c r="D39" s="1" t="s">
        <v>157</v>
      </c>
      <c r="E39" s="1">
        <v>170</v>
      </c>
      <c r="F39" s="1">
        <v>239</v>
      </c>
      <c r="G39" s="1" t="s">
        <v>158</v>
      </c>
    </row>
    <row r="40" spans="1:7" x14ac:dyDescent="0.3">
      <c r="A40" s="1" t="s">
        <v>53</v>
      </c>
      <c r="B40" s="1" t="s">
        <v>54</v>
      </c>
      <c r="C40" s="1" t="s">
        <v>159</v>
      </c>
      <c r="D40" s="1" t="s">
        <v>160</v>
      </c>
      <c r="E40" s="1">
        <v>25</v>
      </c>
      <c r="F40" s="1">
        <v>91</v>
      </c>
      <c r="G40" s="1" t="s">
        <v>161</v>
      </c>
    </row>
    <row r="41" spans="1:7" x14ac:dyDescent="0.3">
      <c r="A41" s="1" t="s">
        <v>53</v>
      </c>
      <c r="B41" s="1" t="s">
        <v>54</v>
      </c>
      <c r="C41" s="1" t="s">
        <v>162</v>
      </c>
      <c r="D41" s="1" t="s">
        <v>163</v>
      </c>
      <c r="E41" s="1">
        <v>29</v>
      </c>
      <c r="F41" s="1">
        <v>168</v>
      </c>
      <c r="G41" s="1" t="s">
        <v>164</v>
      </c>
    </row>
    <row r="42" spans="1:7" x14ac:dyDescent="0.3">
      <c r="A42" s="1" t="s">
        <v>53</v>
      </c>
      <c r="B42" s="1" t="s">
        <v>54</v>
      </c>
      <c r="C42" s="1" t="s">
        <v>165</v>
      </c>
      <c r="D42" s="1" t="s">
        <v>166</v>
      </c>
      <c r="E42" s="1">
        <v>81</v>
      </c>
      <c r="F42" s="1">
        <v>179</v>
      </c>
      <c r="G42" s="1" t="s">
        <v>167</v>
      </c>
    </row>
    <row r="43" spans="1:7" x14ac:dyDescent="0.3">
      <c r="A43" s="1" t="s">
        <v>53</v>
      </c>
      <c r="B43" s="1" t="s">
        <v>54</v>
      </c>
      <c r="C43" s="1" t="s">
        <v>168</v>
      </c>
      <c r="D43" s="1" t="s">
        <v>169</v>
      </c>
      <c r="E43" s="1">
        <v>64</v>
      </c>
      <c r="F43" s="1">
        <v>54</v>
      </c>
      <c r="G43" s="1" t="s">
        <v>170</v>
      </c>
    </row>
    <row r="44" spans="1:7" x14ac:dyDescent="0.3">
      <c r="A44" s="1" t="s">
        <v>53</v>
      </c>
      <c r="B44" s="1" t="s">
        <v>54</v>
      </c>
      <c r="C44" s="1" t="s">
        <v>171</v>
      </c>
      <c r="D44" s="1" t="s">
        <v>172</v>
      </c>
      <c r="E44" s="1">
        <v>104</v>
      </c>
      <c r="F44" s="1">
        <v>10</v>
      </c>
      <c r="G44" s="1" t="s">
        <v>173</v>
      </c>
    </row>
    <row r="45" spans="1:7" x14ac:dyDescent="0.3">
      <c r="A45" s="1" t="s">
        <v>53</v>
      </c>
      <c r="B45" s="1" t="s">
        <v>54</v>
      </c>
      <c r="C45" s="1" t="s">
        <v>174</v>
      </c>
      <c r="D45" s="1" t="s">
        <v>175</v>
      </c>
      <c r="E45" s="1">
        <v>18</v>
      </c>
      <c r="F45" s="1">
        <v>47</v>
      </c>
      <c r="G45" s="1" t="s">
        <v>176</v>
      </c>
    </row>
    <row r="46" spans="1:7" x14ac:dyDescent="0.3">
      <c r="A46" s="1" t="s">
        <v>53</v>
      </c>
      <c r="B46" s="1" t="s">
        <v>54</v>
      </c>
      <c r="C46" s="1" t="s">
        <v>177</v>
      </c>
      <c r="D46" s="1" t="s">
        <v>178</v>
      </c>
      <c r="E46" s="1">
        <v>71</v>
      </c>
      <c r="F46" s="1">
        <v>63</v>
      </c>
      <c r="G46" s="1" t="s">
        <v>179</v>
      </c>
    </row>
    <row r="47" spans="1:7" x14ac:dyDescent="0.3">
      <c r="A47" s="1" t="s">
        <v>53</v>
      </c>
      <c r="B47" s="1" t="s">
        <v>54</v>
      </c>
      <c r="C47" s="1" t="s">
        <v>180</v>
      </c>
      <c r="D47" s="1" t="s">
        <v>181</v>
      </c>
      <c r="E47" s="1">
        <v>68</v>
      </c>
      <c r="F47" s="1">
        <v>82</v>
      </c>
      <c r="G47" s="1" t="s">
        <v>182</v>
      </c>
    </row>
    <row r="48" spans="1:7" x14ac:dyDescent="0.3">
      <c r="A48" s="1" t="s">
        <v>53</v>
      </c>
      <c r="B48" s="1" t="s">
        <v>54</v>
      </c>
      <c r="C48" s="1" t="s">
        <v>183</v>
      </c>
      <c r="D48" s="1" t="s">
        <v>184</v>
      </c>
      <c r="E48" s="1">
        <v>22</v>
      </c>
      <c r="F48" s="1">
        <v>144</v>
      </c>
      <c r="G48" s="1" t="s">
        <v>185</v>
      </c>
    </row>
    <row r="49" spans="1:7" x14ac:dyDescent="0.3">
      <c r="A49" s="1" t="s">
        <v>53</v>
      </c>
      <c r="B49" s="1" t="s">
        <v>54</v>
      </c>
      <c r="C49" s="1" t="s">
        <v>186</v>
      </c>
      <c r="D49" s="1" t="s">
        <v>187</v>
      </c>
      <c r="E49" s="1">
        <v>27</v>
      </c>
      <c r="F49" s="1">
        <v>124</v>
      </c>
      <c r="G49" s="1" t="s">
        <v>188</v>
      </c>
    </row>
    <row r="50" spans="1:7" x14ac:dyDescent="0.3">
      <c r="A50" s="1" t="s">
        <v>53</v>
      </c>
      <c r="B50" s="1" t="s">
        <v>54</v>
      </c>
      <c r="C50" s="1" t="s">
        <v>189</v>
      </c>
      <c r="D50" s="1" t="s">
        <v>190</v>
      </c>
      <c r="E50" s="1">
        <v>33</v>
      </c>
      <c r="F50" s="1">
        <v>58</v>
      </c>
      <c r="G50" s="1" t="s">
        <v>191</v>
      </c>
    </row>
    <row r="51" spans="1:7" x14ac:dyDescent="0.3">
      <c r="A51" s="1" t="s">
        <v>53</v>
      </c>
      <c r="B51" s="1" t="s">
        <v>54</v>
      </c>
      <c r="C51" s="1" t="s">
        <v>192</v>
      </c>
      <c r="D51" s="1" t="s">
        <v>193</v>
      </c>
      <c r="E51" s="1">
        <v>65</v>
      </c>
      <c r="F51" s="1">
        <v>231</v>
      </c>
      <c r="G51" s="1" t="s">
        <v>194</v>
      </c>
    </row>
    <row r="52" spans="1:7" x14ac:dyDescent="0.3">
      <c r="A52" s="1" t="s">
        <v>53</v>
      </c>
      <c r="B52" s="1" t="s">
        <v>54</v>
      </c>
      <c r="C52" s="1" t="s">
        <v>195</v>
      </c>
      <c r="D52" s="1" t="s">
        <v>196</v>
      </c>
      <c r="E52" s="1">
        <v>3</v>
      </c>
      <c r="F52" s="1">
        <v>77</v>
      </c>
      <c r="G52" s="1" t="s">
        <v>197</v>
      </c>
    </row>
    <row r="53" spans="1:7" x14ac:dyDescent="0.3">
      <c r="A53" s="1" t="s">
        <v>53</v>
      </c>
      <c r="B53" s="1" t="s">
        <v>54</v>
      </c>
      <c r="C53" s="1" t="s">
        <v>198</v>
      </c>
      <c r="D53" s="1" t="s">
        <v>199</v>
      </c>
      <c r="E53" s="1">
        <v>6</v>
      </c>
      <c r="F53" s="1">
        <v>62</v>
      </c>
      <c r="G53" s="1" t="s">
        <v>200</v>
      </c>
    </row>
    <row r="54" spans="1:7" x14ac:dyDescent="0.3">
      <c r="A54" s="1" t="s">
        <v>53</v>
      </c>
      <c r="B54" s="1" t="s">
        <v>54</v>
      </c>
      <c r="C54" s="1" t="s">
        <v>201</v>
      </c>
      <c r="D54" s="1" t="s">
        <v>202</v>
      </c>
      <c r="E54" s="1">
        <v>48</v>
      </c>
      <c r="F54" s="1">
        <v>206</v>
      </c>
      <c r="G54" s="1" t="s">
        <v>203</v>
      </c>
    </row>
    <row r="55" spans="1:7" x14ac:dyDescent="0.3">
      <c r="A55" s="1" t="s">
        <v>53</v>
      </c>
      <c r="B55" s="1" t="s">
        <v>54</v>
      </c>
      <c r="C55" s="1" t="s">
        <v>204</v>
      </c>
      <c r="D55" s="1" t="s">
        <v>205</v>
      </c>
      <c r="E55" s="1">
        <v>66</v>
      </c>
      <c r="F55" s="1">
        <v>50</v>
      </c>
      <c r="G55" s="1" t="s">
        <v>206</v>
      </c>
    </row>
    <row r="56" spans="1:7" x14ac:dyDescent="0.3">
      <c r="A56" s="1" t="s">
        <v>53</v>
      </c>
      <c r="B56" s="1" t="s">
        <v>54</v>
      </c>
      <c r="C56" s="1" t="s">
        <v>207</v>
      </c>
      <c r="D56" s="1" t="s">
        <v>208</v>
      </c>
      <c r="E56" s="1">
        <v>23</v>
      </c>
      <c r="F56" s="1">
        <v>43</v>
      </c>
      <c r="G56" s="1" t="s">
        <v>209</v>
      </c>
    </row>
    <row r="57" spans="1:7" x14ac:dyDescent="0.3">
      <c r="A57" s="1" t="s">
        <v>53</v>
      </c>
      <c r="B57" s="1" t="s">
        <v>54</v>
      </c>
      <c r="C57" s="1" t="s">
        <v>210</v>
      </c>
      <c r="D57" s="1" t="s">
        <v>211</v>
      </c>
      <c r="E57" s="1">
        <v>57</v>
      </c>
      <c r="F57" s="1">
        <v>26</v>
      </c>
      <c r="G57" s="1" t="s">
        <v>212</v>
      </c>
    </row>
    <row r="58" spans="1:7" x14ac:dyDescent="0.3">
      <c r="A58" s="1" t="s">
        <v>53</v>
      </c>
      <c r="B58" s="1" t="s">
        <v>54</v>
      </c>
      <c r="C58" s="1" t="s">
        <v>213</v>
      </c>
      <c r="D58" s="1" t="s">
        <v>214</v>
      </c>
      <c r="E58" s="1">
        <v>89</v>
      </c>
      <c r="F58" s="1">
        <v>304</v>
      </c>
      <c r="G58" s="1" t="s">
        <v>215</v>
      </c>
    </row>
    <row r="59" spans="1:7" x14ac:dyDescent="0.3">
      <c r="A59" s="1" t="s">
        <v>53</v>
      </c>
      <c r="B59" s="1" t="s">
        <v>54</v>
      </c>
      <c r="C59" s="1" t="s">
        <v>216</v>
      </c>
      <c r="D59" s="1" t="s">
        <v>217</v>
      </c>
      <c r="E59" s="1">
        <v>76</v>
      </c>
      <c r="F59" s="1">
        <v>105</v>
      </c>
      <c r="G59" s="1" t="s">
        <v>218</v>
      </c>
    </row>
    <row r="60" spans="1:7" x14ac:dyDescent="0.3">
      <c r="A60" s="1" t="s">
        <v>53</v>
      </c>
      <c r="B60" s="1" t="s">
        <v>54</v>
      </c>
      <c r="C60" s="1" t="s">
        <v>219</v>
      </c>
      <c r="D60" s="1" t="s">
        <v>220</v>
      </c>
      <c r="E60" s="1">
        <v>11</v>
      </c>
      <c r="F60" s="1">
        <v>70</v>
      </c>
      <c r="G60" s="1" t="s">
        <v>221</v>
      </c>
    </row>
    <row r="61" spans="1:7" x14ac:dyDescent="0.3">
      <c r="A61" s="1" t="s">
        <v>53</v>
      </c>
      <c r="B61" s="1" t="s">
        <v>54</v>
      </c>
      <c r="C61" s="1" t="s">
        <v>222</v>
      </c>
      <c r="D61" s="1" t="s">
        <v>223</v>
      </c>
      <c r="E61" s="1">
        <v>14</v>
      </c>
      <c r="F61" s="1">
        <v>145</v>
      </c>
      <c r="G61" s="1" t="s">
        <v>224</v>
      </c>
    </row>
    <row r="62" spans="1:7" x14ac:dyDescent="0.3">
      <c r="A62" s="1" t="s">
        <v>53</v>
      </c>
      <c r="B62" s="1" t="s">
        <v>54</v>
      </c>
      <c r="C62" s="1" t="s">
        <v>225</v>
      </c>
      <c r="D62" s="1" t="s">
        <v>226</v>
      </c>
      <c r="E62" s="1">
        <v>219</v>
      </c>
      <c r="F62" s="1">
        <v>67</v>
      </c>
      <c r="G62" s="1" t="s">
        <v>227</v>
      </c>
    </row>
    <row r="63" spans="1:7" x14ac:dyDescent="0.3">
      <c r="A63" s="1" t="s">
        <v>53</v>
      </c>
      <c r="B63" s="1" t="s">
        <v>54</v>
      </c>
      <c r="C63" s="1" t="s">
        <v>228</v>
      </c>
      <c r="D63" s="1" t="s">
        <v>229</v>
      </c>
      <c r="E63" s="1">
        <v>74</v>
      </c>
      <c r="F63" s="1">
        <v>90</v>
      </c>
      <c r="G63" s="1" t="s">
        <v>230</v>
      </c>
    </row>
    <row r="64" spans="1:7" x14ac:dyDescent="0.3">
      <c r="A64" s="1" t="s">
        <v>53</v>
      </c>
      <c r="B64" s="1" t="s">
        <v>54</v>
      </c>
      <c r="C64" s="1" t="s">
        <v>231</v>
      </c>
      <c r="D64" s="1" t="s">
        <v>232</v>
      </c>
      <c r="E64" s="1">
        <v>21</v>
      </c>
      <c r="F64" s="1">
        <v>93</v>
      </c>
      <c r="G64" s="1" t="s">
        <v>233</v>
      </c>
    </row>
    <row r="65" spans="1:7" x14ac:dyDescent="0.3">
      <c r="A65" s="1" t="s">
        <v>53</v>
      </c>
      <c r="B65" s="1" t="s">
        <v>54</v>
      </c>
      <c r="C65" s="1" t="s">
        <v>234</v>
      </c>
      <c r="D65" s="1" t="s">
        <v>235</v>
      </c>
      <c r="E65" s="1">
        <v>78</v>
      </c>
      <c r="F65" s="1">
        <v>28</v>
      </c>
      <c r="G65" s="1" t="s">
        <v>236</v>
      </c>
    </row>
    <row r="66" spans="1:7" x14ac:dyDescent="0.3">
      <c r="A66" s="1" t="s">
        <v>53</v>
      </c>
      <c r="B66" s="1" t="s">
        <v>54</v>
      </c>
      <c r="C66" s="1" t="s">
        <v>237</v>
      </c>
      <c r="D66" s="1" t="s">
        <v>238</v>
      </c>
      <c r="E66" s="1">
        <v>92</v>
      </c>
      <c r="G66" s="1" t="s">
        <v>239</v>
      </c>
    </row>
    <row r="67" spans="1:7" x14ac:dyDescent="0.3">
      <c r="A67" s="1" t="s">
        <v>53</v>
      </c>
      <c r="B67" s="1" t="s">
        <v>54</v>
      </c>
      <c r="C67" s="1" t="s">
        <v>240</v>
      </c>
      <c r="D67" s="1" t="s">
        <v>241</v>
      </c>
      <c r="E67" s="1">
        <v>44</v>
      </c>
      <c r="F67" s="1">
        <v>45</v>
      </c>
      <c r="G67" s="1" t="s">
        <v>242</v>
      </c>
    </row>
    <row r="68" spans="1:7" x14ac:dyDescent="0.3">
      <c r="A68" s="1" t="s">
        <v>53</v>
      </c>
      <c r="B68" s="1" t="s">
        <v>54</v>
      </c>
      <c r="C68" s="1" t="s">
        <v>243</v>
      </c>
      <c r="D68" s="1" t="s">
        <v>244</v>
      </c>
      <c r="E68" s="1">
        <v>2</v>
      </c>
      <c r="F68" s="1">
        <v>103</v>
      </c>
      <c r="G68" s="1" t="s">
        <v>245</v>
      </c>
    </row>
    <row r="69" spans="1:7" x14ac:dyDescent="0.3">
      <c r="A69" s="1" t="s">
        <v>53</v>
      </c>
      <c r="B69" s="1" t="s">
        <v>246</v>
      </c>
      <c r="C69" s="1" t="s">
        <v>55</v>
      </c>
      <c r="D69" s="1" t="s">
        <v>58</v>
      </c>
      <c r="E69" s="1">
        <v>1</v>
      </c>
      <c r="F69" s="1">
        <v>173</v>
      </c>
      <c r="G69" s="1" t="s">
        <v>247</v>
      </c>
    </row>
    <row r="70" spans="1:7" x14ac:dyDescent="0.3">
      <c r="A70" s="1" t="s">
        <v>53</v>
      </c>
      <c r="B70" s="1" t="s">
        <v>246</v>
      </c>
      <c r="C70" s="1" t="s">
        <v>61</v>
      </c>
      <c r="D70" s="1" t="s">
        <v>64</v>
      </c>
      <c r="E70" s="1">
        <v>46</v>
      </c>
      <c r="F70" s="1">
        <v>38</v>
      </c>
      <c r="G70" s="1" t="s">
        <v>248</v>
      </c>
    </row>
    <row r="71" spans="1:7" x14ac:dyDescent="0.3">
      <c r="A71" s="1" t="s">
        <v>53</v>
      </c>
      <c r="B71" s="1" t="s">
        <v>246</v>
      </c>
      <c r="C71" s="1" t="s">
        <v>70</v>
      </c>
      <c r="D71" s="1" t="s">
        <v>67</v>
      </c>
      <c r="E71" s="1">
        <v>51</v>
      </c>
      <c r="F71" s="1">
        <v>17</v>
      </c>
      <c r="G71" s="1" t="s">
        <v>249</v>
      </c>
    </row>
    <row r="72" spans="1:7" x14ac:dyDescent="0.3">
      <c r="A72" s="1" t="s">
        <v>53</v>
      </c>
      <c r="B72" s="1" t="s">
        <v>246</v>
      </c>
      <c r="C72" s="1" t="s">
        <v>76</v>
      </c>
      <c r="D72" s="1" t="s">
        <v>73</v>
      </c>
      <c r="E72" s="1">
        <v>13</v>
      </c>
      <c r="F72" s="1">
        <v>34</v>
      </c>
      <c r="G72" s="1" t="s">
        <v>250</v>
      </c>
    </row>
    <row r="73" spans="1:7" x14ac:dyDescent="0.3">
      <c r="A73" s="1" t="s">
        <v>53</v>
      </c>
      <c r="B73" s="1" t="s">
        <v>246</v>
      </c>
      <c r="C73" s="1" t="s">
        <v>79</v>
      </c>
      <c r="D73" s="1" t="s">
        <v>82</v>
      </c>
      <c r="E73" s="1">
        <v>42</v>
      </c>
      <c r="F73" s="1">
        <v>258</v>
      </c>
      <c r="G73" s="1" t="s">
        <v>251</v>
      </c>
    </row>
    <row r="74" spans="1:7" x14ac:dyDescent="0.3">
      <c r="A74" s="1" t="s">
        <v>53</v>
      </c>
      <c r="B74" s="1" t="s">
        <v>246</v>
      </c>
      <c r="C74" s="1" t="s">
        <v>88</v>
      </c>
      <c r="D74" s="1" t="s">
        <v>85</v>
      </c>
      <c r="E74" s="1">
        <v>19</v>
      </c>
      <c r="F74" s="1">
        <v>86</v>
      </c>
      <c r="G74" s="1" t="s">
        <v>252</v>
      </c>
    </row>
    <row r="75" spans="1:7" x14ac:dyDescent="0.3">
      <c r="A75" s="1" t="s">
        <v>53</v>
      </c>
      <c r="B75" s="1" t="s">
        <v>246</v>
      </c>
      <c r="C75" s="1" t="s">
        <v>91</v>
      </c>
      <c r="D75" s="1" t="s">
        <v>94</v>
      </c>
      <c r="E75" s="1">
        <v>31</v>
      </c>
      <c r="F75" s="1">
        <v>73</v>
      </c>
      <c r="G75" s="1" t="s">
        <v>253</v>
      </c>
    </row>
    <row r="76" spans="1:7" x14ac:dyDescent="0.3">
      <c r="A76" s="1" t="s">
        <v>53</v>
      </c>
      <c r="B76" s="1" t="s">
        <v>246</v>
      </c>
      <c r="C76" s="1" t="s">
        <v>100</v>
      </c>
      <c r="D76" s="1" t="s">
        <v>97</v>
      </c>
      <c r="E76" s="1">
        <v>8</v>
      </c>
      <c r="F76" s="1">
        <v>136</v>
      </c>
      <c r="G76" s="1" t="s">
        <v>254</v>
      </c>
    </row>
    <row r="77" spans="1:7" x14ac:dyDescent="0.3">
      <c r="A77" s="1" t="s">
        <v>53</v>
      </c>
      <c r="B77" s="1" t="s">
        <v>246</v>
      </c>
      <c r="C77" s="1" t="s">
        <v>103</v>
      </c>
      <c r="D77" s="1" t="s">
        <v>106</v>
      </c>
      <c r="E77" s="1">
        <v>4</v>
      </c>
      <c r="F77" s="1">
        <v>150</v>
      </c>
      <c r="G77" s="1" t="s">
        <v>255</v>
      </c>
    </row>
    <row r="78" spans="1:7" x14ac:dyDescent="0.3">
      <c r="A78" s="1" t="s">
        <v>53</v>
      </c>
      <c r="B78" s="1" t="s">
        <v>246</v>
      </c>
      <c r="C78" s="1" t="s">
        <v>112</v>
      </c>
      <c r="D78" s="1" t="s">
        <v>109</v>
      </c>
      <c r="E78" s="1">
        <v>41</v>
      </c>
      <c r="F78" s="1">
        <v>101</v>
      </c>
      <c r="G78" s="1" t="s">
        <v>256</v>
      </c>
    </row>
    <row r="79" spans="1:7" x14ac:dyDescent="0.3">
      <c r="A79" s="1" t="s">
        <v>53</v>
      </c>
      <c r="B79" s="1" t="s">
        <v>246</v>
      </c>
      <c r="C79" s="1" t="s">
        <v>115</v>
      </c>
      <c r="D79" s="1" t="s">
        <v>118</v>
      </c>
      <c r="E79" s="1">
        <v>20</v>
      </c>
      <c r="F79" s="1">
        <v>182</v>
      </c>
      <c r="G79" s="1" t="s">
        <v>257</v>
      </c>
    </row>
    <row r="80" spans="1:7" x14ac:dyDescent="0.3">
      <c r="A80" s="1" t="s">
        <v>53</v>
      </c>
      <c r="B80" s="1" t="s">
        <v>246</v>
      </c>
      <c r="C80" s="1" t="s">
        <v>124</v>
      </c>
      <c r="D80" s="1" t="s">
        <v>121</v>
      </c>
      <c r="E80" s="1">
        <v>15</v>
      </c>
      <c r="F80" s="1">
        <v>56</v>
      </c>
      <c r="G80" s="1" t="s">
        <v>258</v>
      </c>
    </row>
    <row r="81" spans="1:7" x14ac:dyDescent="0.3">
      <c r="A81" s="1" t="s">
        <v>53</v>
      </c>
      <c r="B81" s="1" t="s">
        <v>246</v>
      </c>
      <c r="C81" s="1" t="s">
        <v>130</v>
      </c>
      <c r="D81" s="1" t="s">
        <v>127</v>
      </c>
      <c r="E81" s="1">
        <v>55</v>
      </c>
      <c r="F81" s="1">
        <v>112</v>
      </c>
      <c r="G81" s="1" t="s">
        <v>259</v>
      </c>
    </row>
    <row r="82" spans="1:7" x14ac:dyDescent="0.3">
      <c r="A82" s="1" t="s">
        <v>53</v>
      </c>
      <c r="B82" s="1" t="s">
        <v>246</v>
      </c>
      <c r="C82" s="1" t="s">
        <v>133</v>
      </c>
      <c r="D82" s="1" t="s">
        <v>136</v>
      </c>
      <c r="E82" s="1">
        <v>59</v>
      </c>
      <c r="F82" s="1">
        <v>16</v>
      </c>
      <c r="G82" s="1" t="s">
        <v>260</v>
      </c>
    </row>
    <row r="83" spans="1:7" x14ac:dyDescent="0.3">
      <c r="A83" s="1" t="s">
        <v>53</v>
      </c>
      <c r="B83" s="1" t="s">
        <v>246</v>
      </c>
      <c r="C83" s="1" t="s">
        <v>139</v>
      </c>
      <c r="D83" s="1" t="s">
        <v>142</v>
      </c>
      <c r="E83" s="1">
        <v>69</v>
      </c>
      <c r="F83" s="1">
        <v>146</v>
      </c>
      <c r="G83" s="1" t="s">
        <v>261</v>
      </c>
    </row>
    <row r="84" spans="1:7" x14ac:dyDescent="0.3">
      <c r="A84" s="1" t="s">
        <v>53</v>
      </c>
      <c r="B84" s="1" t="s">
        <v>246</v>
      </c>
      <c r="C84" s="1" t="s">
        <v>144</v>
      </c>
      <c r="D84" s="1" t="s">
        <v>147</v>
      </c>
      <c r="E84" s="1">
        <v>121</v>
      </c>
      <c r="F84" s="1">
        <v>5</v>
      </c>
      <c r="G84" s="1" t="s">
        <v>262</v>
      </c>
    </row>
    <row r="85" spans="1:7" x14ac:dyDescent="0.3">
      <c r="A85" s="1" t="s">
        <v>53</v>
      </c>
      <c r="B85" s="1" t="s">
        <v>246</v>
      </c>
      <c r="C85" s="1" t="s">
        <v>150</v>
      </c>
      <c r="D85" s="1" t="s">
        <v>153</v>
      </c>
      <c r="E85" s="1">
        <v>7</v>
      </c>
      <c r="F85" s="1">
        <v>125</v>
      </c>
      <c r="G85" s="1" t="s">
        <v>263</v>
      </c>
    </row>
    <row r="86" spans="1:7" x14ac:dyDescent="0.3">
      <c r="A86" s="1" t="s">
        <v>53</v>
      </c>
      <c r="B86" s="1" t="s">
        <v>246</v>
      </c>
      <c r="C86" s="1" t="s">
        <v>159</v>
      </c>
      <c r="D86" s="1" t="s">
        <v>156</v>
      </c>
      <c r="E86" s="1">
        <v>25</v>
      </c>
      <c r="F86" s="1">
        <v>170</v>
      </c>
      <c r="G86" s="1" t="s">
        <v>264</v>
      </c>
    </row>
    <row r="87" spans="1:7" x14ac:dyDescent="0.3">
      <c r="A87" s="1" t="s">
        <v>53</v>
      </c>
      <c r="B87" s="1" t="s">
        <v>246</v>
      </c>
      <c r="C87" s="1" t="s">
        <v>162</v>
      </c>
      <c r="D87" s="1" t="s">
        <v>165</v>
      </c>
      <c r="E87" s="1">
        <v>29</v>
      </c>
      <c r="F87" s="1">
        <v>81</v>
      </c>
      <c r="G87" s="1" t="s">
        <v>265</v>
      </c>
    </row>
    <row r="88" spans="1:7" x14ac:dyDescent="0.3">
      <c r="A88" s="1" t="s">
        <v>53</v>
      </c>
      <c r="B88" s="1" t="s">
        <v>246</v>
      </c>
      <c r="C88" s="1" t="s">
        <v>168</v>
      </c>
      <c r="D88" s="1" t="s">
        <v>171</v>
      </c>
      <c r="E88" s="1">
        <v>64</v>
      </c>
      <c r="F88" s="1">
        <v>104</v>
      </c>
      <c r="G88" s="1" t="s">
        <v>266</v>
      </c>
    </row>
    <row r="89" spans="1:7" x14ac:dyDescent="0.3">
      <c r="A89" s="1" t="s">
        <v>53</v>
      </c>
      <c r="B89" s="1" t="s">
        <v>246</v>
      </c>
      <c r="C89" s="1" t="s">
        <v>174</v>
      </c>
      <c r="D89" s="1" t="s">
        <v>177</v>
      </c>
      <c r="E89" s="1">
        <v>18</v>
      </c>
      <c r="F89" s="1">
        <v>71</v>
      </c>
      <c r="G89" s="1" t="s">
        <v>267</v>
      </c>
    </row>
    <row r="90" spans="1:7" x14ac:dyDescent="0.3">
      <c r="A90" s="1" t="s">
        <v>53</v>
      </c>
      <c r="B90" s="1" t="s">
        <v>246</v>
      </c>
      <c r="C90" s="1" t="s">
        <v>180</v>
      </c>
      <c r="D90" s="1" t="s">
        <v>183</v>
      </c>
      <c r="E90" s="1">
        <v>68</v>
      </c>
      <c r="F90" s="1">
        <v>22</v>
      </c>
      <c r="G90" s="1" t="s">
        <v>268</v>
      </c>
    </row>
    <row r="91" spans="1:7" x14ac:dyDescent="0.3">
      <c r="A91" s="1" t="s">
        <v>53</v>
      </c>
      <c r="B91" s="1" t="s">
        <v>246</v>
      </c>
      <c r="C91" s="1" t="s">
        <v>189</v>
      </c>
      <c r="D91" s="1" t="s">
        <v>186</v>
      </c>
      <c r="E91" s="1">
        <v>33</v>
      </c>
      <c r="F91" s="1">
        <v>27</v>
      </c>
      <c r="G91" s="1" t="s">
        <v>269</v>
      </c>
    </row>
    <row r="92" spans="1:7" x14ac:dyDescent="0.3">
      <c r="A92" s="1" t="s">
        <v>53</v>
      </c>
      <c r="B92" s="1" t="s">
        <v>246</v>
      </c>
      <c r="C92" s="1" t="s">
        <v>195</v>
      </c>
      <c r="D92" s="1" t="s">
        <v>192</v>
      </c>
      <c r="E92" s="1">
        <v>3</v>
      </c>
      <c r="F92" s="1">
        <v>65</v>
      </c>
      <c r="G92" s="1" t="s">
        <v>270</v>
      </c>
    </row>
    <row r="93" spans="1:7" x14ac:dyDescent="0.3">
      <c r="A93" s="1" t="s">
        <v>53</v>
      </c>
      <c r="B93" s="1" t="s">
        <v>246</v>
      </c>
      <c r="C93" s="1" t="s">
        <v>201</v>
      </c>
      <c r="D93" s="1" t="s">
        <v>198</v>
      </c>
      <c r="E93" s="1">
        <v>48</v>
      </c>
      <c r="F93" s="1">
        <v>6</v>
      </c>
      <c r="G93" s="1" t="s">
        <v>271</v>
      </c>
    </row>
    <row r="94" spans="1:7" x14ac:dyDescent="0.3">
      <c r="A94" s="1" t="s">
        <v>53</v>
      </c>
      <c r="B94" s="1" t="s">
        <v>246</v>
      </c>
      <c r="C94" s="1" t="s">
        <v>204</v>
      </c>
      <c r="D94" s="1" t="s">
        <v>207</v>
      </c>
      <c r="E94" s="1">
        <v>66</v>
      </c>
      <c r="F94" s="1">
        <v>23</v>
      </c>
      <c r="G94" s="1" t="s">
        <v>272</v>
      </c>
    </row>
    <row r="95" spans="1:7" x14ac:dyDescent="0.3">
      <c r="A95" s="1" t="s">
        <v>53</v>
      </c>
      <c r="B95" s="1" t="s">
        <v>246</v>
      </c>
      <c r="C95" s="1" t="s">
        <v>210</v>
      </c>
      <c r="D95" s="1" t="s">
        <v>213</v>
      </c>
      <c r="E95" s="1">
        <v>57</v>
      </c>
      <c r="F95" s="1">
        <v>89</v>
      </c>
      <c r="G95" s="1" t="s">
        <v>273</v>
      </c>
    </row>
    <row r="96" spans="1:7" x14ac:dyDescent="0.3">
      <c r="A96" s="1" t="s">
        <v>53</v>
      </c>
      <c r="B96" s="1" t="s">
        <v>246</v>
      </c>
      <c r="C96" s="1" t="s">
        <v>219</v>
      </c>
      <c r="D96" s="1" t="s">
        <v>216</v>
      </c>
      <c r="E96" s="1">
        <v>11</v>
      </c>
      <c r="F96" s="1">
        <v>76</v>
      </c>
      <c r="G96" s="1" t="s">
        <v>274</v>
      </c>
    </row>
    <row r="97" spans="1:7" x14ac:dyDescent="0.3">
      <c r="A97" s="1" t="s">
        <v>53</v>
      </c>
      <c r="B97" s="1" t="s">
        <v>246</v>
      </c>
      <c r="C97" s="1" t="s">
        <v>222</v>
      </c>
      <c r="D97" s="1" t="s">
        <v>225</v>
      </c>
      <c r="E97" s="1">
        <v>14</v>
      </c>
      <c r="F97" s="1">
        <v>219</v>
      </c>
      <c r="G97" s="1" t="s">
        <v>275</v>
      </c>
    </row>
    <row r="98" spans="1:7" x14ac:dyDescent="0.3">
      <c r="A98" s="1" t="s">
        <v>53</v>
      </c>
      <c r="B98" s="1" t="s">
        <v>246</v>
      </c>
      <c r="C98" s="1" t="s">
        <v>231</v>
      </c>
      <c r="D98" s="1" t="s">
        <v>228</v>
      </c>
      <c r="E98" s="1">
        <v>21</v>
      </c>
      <c r="F98" s="1">
        <v>74</v>
      </c>
      <c r="G98" s="1" t="s">
        <v>276</v>
      </c>
    </row>
    <row r="99" spans="1:7" x14ac:dyDescent="0.3">
      <c r="A99" s="1" t="s">
        <v>53</v>
      </c>
      <c r="B99" s="1" t="s">
        <v>246</v>
      </c>
      <c r="C99" s="1" t="s">
        <v>237</v>
      </c>
      <c r="D99" s="1" t="s">
        <v>234</v>
      </c>
      <c r="E99" s="1">
        <v>92</v>
      </c>
      <c r="F99" s="1">
        <v>78</v>
      </c>
      <c r="G99" s="1" t="s">
        <v>277</v>
      </c>
    </row>
    <row r="100" spans="1:7" x14ac:dyDescent="0.3">
      <c r="A100" s="1" t="s">
        <v>53</v>
      </c>
      <c r="B100" s="1" t="s">
        <v>246</v>
      </c>
      <c r="C100" s="1" t="s">
        <v>243</v>
      </c>
      <c r="D100" s="1" t="s">
        <v>240</v>
      </c>
      <c r="E100" s="1">
        <v>2</v>
      </c>
      <c r="F100" s="1">
        <v>44</v>
      </c>
      <c r="G100" s="1" t="s">
        <v>278</v>
      </c>
    </row>
    <row r="101" spans="1:7" x14ac:dyDescent="0.3">
      <c r="A101" s="1" t="s">
        <v>53</v>
      </c>
      <c r="B101" s="1" t="s">
        <v>279</v>
      </c>
      <c r="C101" s="1" t="s">
        <v>55</v>
      </c>
      <c r="D101" s="1" t="s">
        <v>61</v>
      </c>
      <c r="E101" s="1">
        <v>1</v>
      </c>
      <c r="F101" s="1">
        <v>46</v>
      </c>
      <c r="G101" s="1" t="s">
        <v>280</v>
      </c>
    </row>
    <row r="102" spans="1:7" x14ac:dyDescent="0.3">
      <c r="A102" s="1" t="s">
        <v>53</v>
      </c>
      <c r="B102" s="1" t="s">
        <v>279</v>
      </c>
      <c r="C102" s="1" t="s">
        <v>76</v>
      </c>
      <c r="D102" s="1" t="s">
        <v>70</v>
      </c>
      <c r="E102" s="1">
        <v>13</v>
      </c>
      <c r="F102" s="1">
        <v>51</v>
      </c>
      <c r="G102" s="1" t="s">
        <v>281</v>
      </c>
    </row>
    <row r="103" spans="1:7" x14ac:dyDescent="0.3">
      <c r="A103" s="1" t="s">
        <v>53</v>
      </c>
      <c r="B103" s="1" t="s">
        <v>279</v>
      </c>
      <c r="C103" s="1" t="s">
        <v>79</v>
      </c>
      <c r="D103" s="1" t="s">
        <v>88</v>
      </c>
      <c r="E103" s="1">
        <v>42</v>
      </c>
      <c r="F103" s="1">
        <v>19</v>
      </c>
      <c r="G103" s="1" t="s">
        <v>282</v>
      </c>
    </row>
    <row r="104" spans="1:7" x14ac:dyDescent="0.3">
      <c r="A104" s="1" t="s">
        <v>53</v>
      </c>
      <c r="B104" s="1" t="s">
        <v>279</v>
      </c>
      <c r="C104" s="1" t="s">
        <v>100</v>
      </c>
      <c r="D104" s="1" t="s">
        <v>91</v>
      </c>
      <c r="E104" s="1">
        <v>8</v>
      </c>
      <c r="F104" s="1">
        <v>31</v>
      </c>
      <c r="G104" s="1" t="s">
        <v>283</v>
      </c>
    </row>
    <row r="105" spans="1:7" x14ac:dyDescent="0.3">
      <c r="A105" s="1" t="s">
        <v>53</v>
      </c>
      <c r="B105" s="1" t="s">
        <v>279</v>
      </c>
      <c r="C105" s="1" t="s">
        <v>112</v>
      </c>
      <c r="D105" s="1" t="s">
        <v>103</v>
      </c>
      <c r="E105" s="1">
        <v>41</v>
      </c>
      <c r="F105" s="1">
        <v>4</v>
      </c>
      <c r="G105" s="1" t="s">
        <v>284</v>
      </c>
    </row>
    <row r="106" spans="1:7" x14ac:dyDescent="0.3">
      <c r="A106" s="1" t="s">
        <v>53</v>
      </c>
      <c r="B106" s="1" t="s">
        <v>279</v>
      </c>
      <c r="C106" s="1" t="s">
        <v>115</v>
      </c>
      <c r="D106" s="1" t="s">
        <v>124</v>
      </c>
      <c r="E106" s="1">
        <v>20</v>
      </c>
      <c r="F106" s="1">
        <v>15</v>
      </c>
      <c r="G106" s="1" t="s">
        <v>285</v>
      </c>
    </row>
    <row r="107" spans="1:7" x14ac:dyDescent="0.3">
      <c r="A107" s="1" t="s">
        <v>53</v>
      </c>
      <c r="B107" s="1" t="s">
        <v>279</v>
      </c>
      <c r="C107" s="1" t="s">
        <v>130</v>
      </c>
      <c r="D107" s="1" t="s">
        <v>133</v>
      </c>
      <c r="E107" s="1">
        <v>55</v>
      </c>
      <c r="F107" s="1">
        <v>59</v>
      </c>
      <c r="G107" s="1" t="s">
        <v>286</v>
      </c>
    </row>
    <row r="108" spans="1:7" x14ac:dyDescent="0.3">
      <c r="A108" s="1" t="s">
        <v>53</v>
      </c>
      <c r="B108" s="1" t="s">
        <v>279</v>
      </c>
      <c r="C108" s="1" t="s">
        <v>144</v>
      </c>
      <c r="D108" s="1" t="s">
        <v>139</v>
      </c>
      <c r="E108" s="1">
        <v>121</v>
      </c>
      <c r="F108" s="1">
        <v>69</v>
      </c>
      <c r="G108" s="1" t="s">
        <v>287</v>
      </c>
    </row>
    <row r="109" spans="1:7" x14ac:dyDescent="0.3">
      <c r="A109" s="1" t="s">
        <v>53</v>
      </c>
      <c r="B109" s="1" t="s">
        <v>279</v>
      </c>
      <c r="C109" s="1" t="s">
        <v>150</v>
      </c>
      <c r="D109" s="1" t="s">
        <v>159</v>
      </c>
      <c r="E109" s="1">
        <v>7</v>
      </c>
      <c r="F109" s="1">
        <v>25</v>
      </c>
      <c r="G109" s="1" t="s">
        <v>288</v>
      </c>
    </row>
    <row r="110" spans="1:7" x14ac:dyDescent="0.3">
      <c r="A110" s="1" t="s">
        <v>53</v>
      </c>
      <c r="B110" s="1" t="s">
        <v>279</v>
      </c>
      <c r="C110" s="1" t="s">
        <v>162</v>
      </c>
      <c r="D110" s="1" t="s">
        <v>168</v>
      </c>
      <c r="E110" s="1">
        <v>29</v>
      </c>
      <c r="F110" s="1">
        <v>64</v>
      </c>
      <c r="G110" s="1" t="s">
        <v>289</v>
      </c>
    </row>
    <row r="111" spans="1:7" x14ac:dyDescent="0.3">
      <c r="A111" s="1" t="s">
        <v>53</v>
      </c>
      <c r="B111" s="1" t="s">
        <v>279</v>
      </c>
      <c r="C111" s="1" t="s">
        <v>174</v>
      </c>
      <c r="D111" s="1" t="s">
        <v>180</v>
      </c>
      <c r="E111" s="1">
        <v>18</v>
      </c>
      <c r="F111" s="1">
        <v>68</v>
      </c>
      <c r="G111" s="1" t="s">
        <v>290</v>
      </c>
    </row>
    <row r="112" spans="1:7" x14ac:dyDescent="0.3">
      <c r="A112" s="1" t="s">
        <v>53</v>
      </c>
      <c r="B112" s="1" t="s">
        <v>279</v>
      </c>
      <c r="C112" s="1" t="s">
        <v>195</v>
      </c>
      <c r="D112" s="1" t="s">
        <v>189</v>
      </c>
      <c r="E112" s="1">
        <v>3</v>
      </c>
      <c r="F112" s="1">
        <v>33</v>
      </c>
      <c r="G112" s="1" t="s">
        <v>291</v>
      </c>
    </row>
    <row r="113" spans="1:7" x14ac:dyDescent="0.3">
      <c r="A113" s="1" t="s">
        <v>53</v>
      </c>
      <c r="B113" s="1" t="s">
        <v>279</v>
      </c>
      <c r="C113" s="1" t="s">
        <v>204</v>
      </c>
      <c r="D113" s="1" t="s">
        <v>201</v>
      </c>
      <c r="E113" s="1">
        <v>66</v>
      </c>
      <c r="F113" s="1">
        <v>48</v>
      </c>
      <c r="G113" s="1" t="s">
        <v>292</v>
      </c>
    </row>
    <row r="114" spans="1:7" x14ac:dyDescent="0.3">
      <c r="A114" s="1" t="s">
        <v>53</v>
      </c>
      <c r="B114" s="1" t="s">
        <v>279</v>
      </c>
      <c r="C114" s="1" t="s">
        <v>219</v>
      </c>
      <c r="D114" s="1" t="s">
        <v>210</v>
      </c>
      <c r="E114" s="1">
        <v>11</v>
      </c>
      <c r="F114" s="1">
        <v>57</v>
      </c>
      <c r="G114" s="1" t="s">
        <v>293</v>
      </c>
    </row>
    <row r="115" spans="1:7" x14ac:dyDescent="0.3">
      <c r="A115" s="1" t="s">
        <v>53</v>
      </c>
      <c r="B115" s="1" t="s">
        <v>279</v>
      </c>
      <c r="C115" s="1" t="s">
        <v>222</v>
      </c>
      <c r="D115" s="1" t="s">
        <v>231</v>
      </c>
      <c r="E115" s="1">
        <v>14</v>
      </c>
      <c r="F115" s="1">
        <v>21</v>
      </c>
      <c r="G115" s="1" t="s">
        <v>294</v>
      </c>
    </row>
    <row r="116" spans="1:7" x14ac:dyDescent="0.3">
      <c r="A116" s="1" t="s">
        <v>53</v>
      </c>
      <c r="B116" s="1" t="s">
        <v>279</v>
      </c>
      <c r="C116" s="1" t="s">
        <v>243</v>
      </c>
      <c r="D116" s="1" t="s">
        <v>237</v>
      </c>
      <c r="E116" s="1">
        <v>2</v>
      </c>
      <c r="F116" s="1">
        <v>92</v>
      </c>
      <c r="G116" s="1" t="s">
        <v>275</v>
      </c>
    </row>
    <row r="117" spans="1:7" x14ac:dyDescent="0.3">
      <c r="A117" s="1" t="s">
        <v>53</v>
      </c>
      <c r="B117" s="1" t="s">
        <v>295</v>
      </c>
      <c r="C117" s="1" t="s">
        <v>55</v>
      </c>
      <c r="D117" s="1" t="s">
        <v>76</v>
      </c>
      <c r="E117" s="1">
        <v>1</v>
      </c>
      <c r="F117" s="1">
        <v>13</v>
      </c>
      <c r="G117" s="1" t="s">
        <v>296</v>
      </c>
    </row>
    <row r="118" spans="1:7" x14ac:dyDescent="0.3">
      <c r="A118" s="1" t="s">
        <v>53</v>
      </c>
      <c r="B118" s="1" t="s">
        <v>295</v>
      </c>
      <c r="C118" s="1" t="s">
        <v>100</v>
      </c>
      <c r="D118" s="1" t="s">
        <v>79</v>
      </c>
      <c r="E118" s="1">
        <v>8</v>
      </c>
      <c r="F118" s="1">
        <v>42</v>
      </c>
      <c r="G118" s="1" t="s">
        <v>297</v>
      </c>
    </row>
    <row r="119" spans="1:7" x14ac:dyDescent="0.3">
      <c r="A119" s="1" t="s">
        <v>53</v>
      </c>
      <c r="B119" s="1" t="s">
        <v>295</v>
      </c>
      <c r="C119" s="1" t="s">
        <v>115</v>
      </c>
      <c r="D119" s="1" t="s">
        <v>112</v>
      </c>
      <c r="E119" s="1">
        <v>20</v>
      </c>
      <c r="F119" s="1">
        <v>41</v>
      </c>
      <c r="G119" s="1" t="s">
        <v>298</v>
      </c>
    </row>
    <row r="120" spans="1:7" x14ac:dyDescent="0.3">
      <c r="A120" s="1" t="s">
        <v>53</v>
      </c>
      <c r="B120" s="1" t="s">
        <v>295</v>
      </c>
      <c r="C120" s="1" t="s">
        <v>130</v>
      </c>
      <c r="D120" s="1" t="s">
        <v>144</v>
      </c>
      <c r="E120" s="1">
        <v>55</v>
      </c>
      <c r="F120" s="1">
        <v>121</v>
      </c>
      <c r="G120" s="1" t="s">
        <v>299</v>
      </c>
    </row>
    <row r="121" spans="1:7" x14ac:dyDescent="0.3">
      <c r="A121" s="1" t="s">
        <v>53</v>
      </c>
      <c r="B121" s="1" t="s">
        <v>295</v>
      </c>
      <c r="C121" s="1" t="s">
        <v>150</v>
      </c>
      <c r="D121" s="1" t="s">
        <v>162</v>
      </c>
      <c r="E121" s="1">
        <v>7</v>
      </c>
      <c r="F121" s="1">
        <v>29</v>
      </c>
      <c r="G121" s="1" t="s">
        <v>300</v>
      </c>
    </row>
    <row r="122" spans="1:7" x14ac:dyDescent="0.3">
      <c r="A122" s="1" t="s">
        <v>53</v>
      </c>
      <c r="B122" s="1" t="s">
        <v>295</v>
      </c>
      <c r="C122" s="1" t="s">
        <v>195</v>
      </c>
      <c r="D122" s="1" t="s">
        <v>174</v>
      </c>
      <c r="E122" s="1">
        <v>3</v>
      </c>
      <c r="F122" s="1">
        <v>18</v>
      </c>
      <c r="G122" s="1" t="s">
        <v>301</v>
      </c>
    </row>
    <row r="123" spans="1:7" x14ac:dyDescent="0.3">
      <c r="A123" s="1" t="s">
        <v>53</v>
      </c>
      <c r="B123" s="1" t="s">
        <v>295</v>
      </c>
      <c r="C123" s="1" t="s">
        <v>219</v>
      </c>
      <c r="D123" s="1" t="s">
        <v>204</v>
      </c>
      <c r="E123" s="1">
        <v>11</v>
      </c>
      <c r="F123" s="1">
        <v>66</v>
      </c>
      <c r="G123" s="1" t="s">
        <v>302</v>
      </c>
    </row>
    <row r="124" spans="1:7" x14ac:dyDescent="0.3">
      <c r="A124" s="1" t="s">
        <v>53</v>
      </c>
      <c r="B124" s="1" t="s">
        <v>295</v>
      </c>
      <c r="C124" s="1" t="s">
        <v>243</v>
      </c>
      <c r="D124" s="1" t="s">
        <v>222</v>
      </c>
      <c r="E124" s="1">
        <v>2</v>
      </c>
      <c r="F124" s="1">
        <v>14</v>
      </c>
      <c r="G124" s="1" t="s">
        <v>303</v>
      </c>
    </row>
    <row r="125" spans="1:7" x14ac:dyDescent="0.3">
      <c r="A125" s="1" t="s">
        <v>53</v>
      </c>
      <c r="B125" s="1" t="s">
        <v>304</v>
      </c>
      <c r="C125" s="1" t="s">
        <v>55</v>
      </c>
      <c r="D125" s="1" t="s">
        <v>100</v>
      </c>
      <c r="E125" s="1">
        <v>1</v>
      </c>
      <c r="F125" s="1">
        <v>8</v>
      </c>
      <c r="G125" s="1" t="s">
        <v>305</v>
      </c>
    </row>
    <row r="126" spans="1:7" x14ac:dyDescent="0.3">
      <c r="A126" s="1" t="s">
        <v>53</v>
      </c>
      <c r="B126" s="1" t="s">
        <v>304</v>
      </c>
      <c r="C126" s="1" t="s">
        <v>115</v>
      </c>
      <c r="D126" s="1" t="s">
        <v>130</v>
      </c>
      <c r="E126" s="1">
        <v>20</v>
      </c>
      <c r="F126" s="1">
        <v>55</v>
      </c>
      <c r="G126" s="1" t="s">
        <v>306</v>
      </c>
    </row>
    <row r="127" spans="1:7" x14ac:dyDescent="0.3">
      <c r="A127" s="1" t="s">
        <v>53</v>
      </c>
      <c r="B127" s="1" t="s">
        <v>304</v>
      </c>
      <c r="C127" s="1" t="s">
        <v>150</v>
      </c>
      <c r="D127" s="1" t="s">
        <v>195</v>
      </c>
      <c r="E127" s="1">
        <v>7</v>
      </c>
      <c r="F127" s="1">
        <v>3</v>
      </c>
      <c r="G127" s="1" t="s">
        <v>307</v>
      </c>
    </row>
    <row r="128" spans="1:7" x14ac:dyDescent="0.3">
      <c r="A128" s="1" t="s">
        <v>53</v>
      </c>
      <c r="B128" s="1" t="s">
        <v>304</v>
      </c>
      <c r="C128" s="1" t="s">
        <v>243</v>
      </c>
      <c r="D128" s="1" t="s">
        <v>219</v>
      </c>
      <c r="E128" s="1">
        <v>2</v>
      </c>
      <c r="F128" s="1">
        <v>11</v>
      </c>
      <c r="G128" s="1" t="s">
        <v>308</v>
      </c>
    </row>
    <row r="129" spans="1:7" x14ac:dyDescent="0.3">
      <c r="A129" s="1" t="s">
        <v>53</v>
      </c>
      <c r="B129" s="1" t="s">
        <v>309</v>
      </c>
      <c r="C129" s="1" t="s">
        <v>55</v>
      </c>
      <c r="D129" s="1" t="s">
        <v>115</v>
      </c>
      <c r="E129" s="1">
        <v>1</v>
      </c>
      <c r="F129" s="1">
        <v>20</v>
      </c>
      <c r="G129" s="1" t="s">
        <v>310</v>
      </c>
    </row>
    <row r="130" spans="1:7" x14ac:dyDescent="0.3">
      <c r="A130" s="1" t="s">
        <v>53</v>
      </c>
      <c r="B130" s="1" t="s">
        <v>309</v>
      </c>
      <c r="C130" s="1" t="s">
        <v>243</v>
      </c>
      <c r="D130" s="1" t="s">
        <v>150</v>
      </c>
      <c r="E130" s="1">
        <v>2</v>
      </c>
      <c r="F130" s="1">
        <v>7</v>
      </c>
      <c r="G130" s="1" t="s">
        <v>311</v>
      </c>
    </row>
    <row r="131" spans="1:7" x14ac:dyDescent="0.3">
      <c r="A131" s="1" t="s">
        <v>53</v>
      </c>
      <c r="B131" s="1" t="s">
        <v>312</v>
      </c>
      <c r="C131" s="1" t="s">
        <v>55</v>
      </c>
      <c r="D131" s="1" t="s">
        <v>243</v>
      </c>
      <c r="E131" s="1">
        <v>1</v>
      </c>
      <c r="F131" s="1">
        <v>2</v>
      </c>
      <c r="G131" s="1" t="s">
        <v>313</v>
      </c>
    </row>
    <row r="132" spans="1:7" x14ac:dyDescent="0.3">
      <c r="A132" s="1" t="s">
        <v>26</v>
      </c>
      <c r="B132" s="1" t="s">
        <v>312</v>
      </c>
      <c r="C132" s="1" t="s">
        <v>195</v>
      </c>
      <c r="D132" s="1" t="s">
        <v>55</v>
      </c>
      <c r="E132" s="1">
        <v>2</v>
      </c>
      <c r="F132" s="1">
        <v>1</v>
      </c>
      <c r="G132" s="1" t="s">
        <v>401</v>
      </c>
    </row>
    <row r="133" spans="1:7" x14ac:dyDescent="0.3">
      <c r="A133" s="1" t="s">
        <v>26</v>
      </c>
      <c r="B133" s="1" t="s">
        <v>309</v>
      </c>
      <c r="C133" s="1" t="s">
        <v>55</v>
      </c>
      <c r="D133" s="1" t="s">
        <v>150</v>
      </c>
      <c r="E133" s="1">
        <v>1</v>
      </c>
      <c r="F133" s="1">
        <v>6</v>
      </c>
      <c r="G133" s="1" t="s">
        <v>402</v>
      </c>
    </row>
    <row r="134" spans="1:7" x14ac:dyDescent="0.3">
      <c r="A134" s="1" t="s">
        <v>26</v>
      </c>
      <c r="B134" s="1" t="s">
        <v>309</v>
      </c>
      <c r="C134" s="1" t="s">
        <v>195</v>
      </c>
      <c r="D134" s="1" t="s">
        <v>124</v>
      </c>
      <c r="E134" s="1">
        <v>2</v>
      </c>
      <c r="F134" s="1">
        <v>7</v>
      </c>
      <c r="G134" s="1" t="s">
        <v>403</v>
      </c>
    </row>
    <row r="135" spans="1:7" x14ac:dyDescent="0.3">
      <c r="A135" s="1" t="s">
        <v>26</v>
      </c>
      <c r="B135" s="1" t="s">
        <v>304</v>
      </c>
      <c r="C135" s="1" t="s">
        <v>55</v>
      </c>
      <c r="D135" s="1" t="s">
        <v>92</v>
      </c>
      <c r="E135" s="1">
        <v>1</v>
      </c>
      <c r="F135" s="1">
        <v>62</v>
      </c>
      <c r="G135" s="1" t="s">
        <v>404</v>
      </c>
    </row>
    <row r="136" spans="1:7" x14ac:dyDescent="0.3">
      <c r="A136" s="1" t="s">
        <v>26</v>
      </c>
      <c r="B136" s="1" t="s">
        <v>304</v>
      </c>
      <c r="C136" s="1" t="s">
        <v>195</v>
      </c>
      <c r="D136" s="1" t="s">
        <v>219</v>
      </c>
      <c r="E136" s="1">
        <v>2</v>
      </c>
      <c r="F136" s="1">
        <v>12</v>
      </c>
      <c r="G136" s="1" t="s">
        <v>270</v>
      </c>
    </row>
    <row r="137" spans="1:7" x14ac:dyDescent="0.3">
      <c r="A137" s="1" t="s">
        <v>26</v>
      </c>
      <c r="B137" s="1" t="s">
        <v>304</v>
      </c>
      <c r="C137" s="1" t="s">
        <v>150</v>
      </c>
      <c r="D137" s="1" t="s">
        <v>243</v>
      </c>
      <c r="E137" s="1">
        <v>6</v>
      </c>
      <c r="F137" s="1">
        <v>3</v>
      </c>
      <c r="G137" s="1" t="s">
        <v>405</v>
      </c>
    </row>
    <row r="138" spans="1:7" x14ac:dyDescent="0.3">
      <c r="A138" s="1" t="s">
        <v>26</v>
      </c>
      <c r="B138" s="1" t="s">
        <v>304</v>
      </c>
      <c r="C138" s="1" t="s">
        <v>124</v>
      </c>
      <c r="D138" s="1" t="s">
        <v>136</v>
      </c>
      <c r="E138" s="1">
        <v>7</v>
      </c>
      <c r="F138" s="1">
        <v>16</v>
      </c>
      <c r="G138" s="1" t="s">
        <v>406</v>
      </c>
    </row>
    <row r="139" spans="1:7" x14ac:dyDescent="0.3">
      <c r="A139" s="1" t="s">
        <v>26</v>
      </c>
      <c r="B139" s="1" t="s">
        <v>295</v>
      </c>
      <c r="C139" s="1" t="s">
        <v>55</v>
      </c>
      <c r="D139" s="1" t="s">
        <v>128</v>
      </c>
      <c r="E139" s="1">
        <v>1</v>
      </c>
      <c r="F139" s="1">
        <v>15</v>
      </c>
      <c r="G139" s="1" t="s">
        <v>407</v>
      </c>
    </row>
    <row r="140" spans="1:7" x14ac:dyDescent="0.3">
      <c r="A140" s="1" t="s">
        <v>26</v>
      </c>
      <c r="B140" s="1" t="s">
        <v>295</v>
      </c>
      <c r="C140" s="1" t="s">
        <v>195</v>
      </c>
      <c r="D140" s="1" t="s">
        <v>115</v>
      </c>
      <c r="E140" s="1">
        <v>2</v>
      </c>
      <c r="F140" s="1">
        <v>13</v>
      </c>
      <c r="G140" s="1" t="s">
        <v>408</v>
      </c>
    </row>
    <row r="141" spans="1:7" x14ac:dyDescent="0.3">
      <c r="A141" s="1" t="s">
        <v>26</v>
      </c>
      <c r="B141" s="1" t="s">
        <v>295</v>
      </c>
      <c r="C141" s="1" t="s">
        <v>243</v>
      </c>
      <c r="D141" s="1" t="s">
        <v>68</v>
      </c>
      <c r="E141" s="1">
        <v>3</v>
      </c>
      <c r="F141" s="1">
        <v>35</v>
      </c>
      <c r="G141" s="1" t="s">
        <v>409</v>
      </c>
    </row>
    <row r="142" spans="1:7" x14ac:dyDescent="0.3">
      <c r="A142" s="1" t="s">
        <v>26</v>
      </c>
      <c r="B142" s="1" t="s">
        <v>295</v>
      </c>
      <c r="C142" s="1" t="s">
        <v>92</v>
      </c>
      <c r="D142" s="1" t="s">
        <v>174</v>
      </c>
      <c r="E142" s="1">
        <v>62</v>
      </c>
      <c r="F142" s="1">
        <v>5</v>
      </c>
      <c r="G142" s="1" t="s">
        <v>410</v>
      </c>
    </row>
    <row r="143" spans="1:7" x14ac:dyDescent="0.3">
      <c r="A143" s="1" t="s">
        <v>26</v>
      </c>
      <c r="B143" s="1" t="s">
        <v>295</v>
      </c>
      <c r="C143" s="1" t="s">
        <v>150</v>
      </c>
      <c r="D143" s="1" t="s">
        <v>74</v>
      </c>
      <c r="E143" s="1">
        <v>6</v>
      </c>
      <c r="F143" s="1">
        <v>81</v>
      </c>
      <c r="G143" s="1" t="s">
        <v>411</v>
      </c>
    </row>
    <row r="144" spans="1:7" x14ac:dyDescent="0.3">
      <c r="A144" s="1" t="s">
        <v>26</v>
      </c>
      <c r="B144" s="1" t="s">
        <v>295</v>
      </c>
      <c r="C144" s="1" t="s">
        <v>124</v>
      </c>
      <c r="D144" s="1" t="s">
        <v>76</v>
      </c>
      <c r="E144" s="1">
        <v>7</v>
      </c>
      <c r="F144" s="1">
        <v>10</v>
      </c>
      <c r="G144" s="1" t="s">
        <v>412</v>
      </c>
    </row>
    <row r="145" spans="1:7" x14ac:dyDescent="0.3">
      <c r="A145" s="1" t="s">
        <v>26</v>
      </c>
      <c r="B145" s="1" t="s">
        <v>295</v>
      </c>
      <c r="C145" s="1" t="s">
        <v>219</v>
      </c>
      <c r="D145" s="1" t="s">
        <v>140</v>
      </c>
      <c r="E145" s="1">
        <v>12</v>
      </c>
      <c r="F145" s="1">
        <v>25</v>
      </c>
      <c r="G145" s="1" t="s">
        <v>413</v>
      </c>
    </row>
    <row r="146" spans="1:7" x14ac:dyDescent="0.3">
      <c r="A146" s="1" t="s">
        <v>26</v>
      </c>
      <c r="B146" s="1" t="s">
        <v>295</v>
      </c>
      <c r="C146" s="1" t="s">
        <v>136</v>
      </c>
      <c r="D146" s="1" t="s">
        <v>109</v>
      </c>
      <c r="E146" s="1">
        <v>16</v>
      </c>
      <c r="F146" s="1">
        <v>66</v>
      </c>
      <c r="G146" s="1" t="s">
        <v>300</v>
      </c>
    </row>
    <row r="147" spans="1:7" x14ac:dyDescent="0.3">
      <c r="A147" s="1" t="s">
        <v>26</v>
      </c>
      <c r="B147" s="1" t="s">
        <v>279</v>
      </c>
      <c r="C147" s="1" t="s">
        <v>55</v>
      </c>
      <c r="D147" s="1" t="s">
        <v>162</v>
      </c>
      <c r="E147" s="1">
        <v>1</v>
      </c>
      <c r="F147" s="1">
        <v>34</v>
      </c>
      <c r="G147" s="1" t="s">
        <v>414</v>
      </c>
    </row>
    <row r="148" spans="1:7" x14ac:dyDescent="0.3">
      <c r="A148" s="1" t="s">
        <v>26</v>
      </c>
      <c r="B148" s="1" t="s">
        <v>279</v>
      </c>
      <c r="C148" s="1" t="s">
        <v>195</v>
      </c>
      <c r="D148" s="1" t="s">
        <v>181</v>
      </c>
      <c r="E148" s="1">
        <v>2</v>
      </c>
      <c r="F148" s="1">
        <v>69</v>
      </c>
      <c r="G148" s="1" t="s">
        <v>415</v>
      </c>
    </row>
    <row r="149" spans="1:7" x14ac:dyDescent="0.3">
      <c r="A149" s="1" t="s">
        <v>26</v>
      </c>
      <c r="B149" s="1" t="s">
        <v>279</v>
      </c>
      <c r="C149" s="1" t="s">
        <v>243</v>
      </c>
      <c r="D149" s="1" t="s">
        <v>65</v>
      </c>
      <c r="E149" s="1">
        <v>3</v>
      </c>
      <c r="F149" s="1">
        <v>26</v>
      </c>
      <c r="G149" s="1" t="s">
        <v>416</v>
      </c>
    </row>
    <row r="150" spans="1:7" x14ac:dyDescent="0.3">
      <c r="A150" s="1" t="s">
        <v>26</v>
      </c>
      <c r="B150" s="1" t="s">
        <v>279</v>
      </c>
      <c r="C150" s="1" t="s">
        <v>174</v>
      </c>
      <c r="D150" s="1" t="s">
        <v>127</v>
      </c>
      <c r="E150" s="1">
        <v>5</v>
      </c>
      <c r="F150" s="1">
        <v>65</v>
      </c>
      <c r="G150" s="1" t="s">
        <v>215</v>
      </c>
    </row>
    <row r="151" spans="1:7" x14ac:dyDescent="0.3">
      <c r="A151" s="1" t="s">
        <v>26</v>
      </c>
      <c r="B151" s="1" t="s">
        <v>279</v>
      </c>
      <c r="C151" s="1" t="s">
        <v>150</v>
      </c>
      <c r="D151" s="1" t="s">
        <v>332</v>
      </c>
      <c r="E151" s="1">
        <v>6</v>
      </c>
      <c r="F151" s="1">
        <v>153</v>
      </c>
      <c r="G151" s="1" t="s">
        <v>280</v>
      </c>
    </row>
    <row r="152" spans="1:7" x14ac:dyDescent="0.3">
      <c r="A152" s="1" t="s">
        <v>26</v>
      </c>
      <c r="B152" s="1" t="s">
        <v>279</v>
      </c>
      <c r="C152" s="1" t="s">
        <v>124</v>
      </c>
      <c r="D152" s="1" t="s">
        <v>175</v>
      </c>
      <c r="E152" s="1">
        <v>7</v>
      </c>
      <c r="F152" s="1">
        <v>97</v>
      </c>
      <c r="G152" s="1" t="s">
        <v>417</v>
      </c>
    </row>
    <row r="153" spans="1:7" x14ac:dyDescent="0.3">
      <c r="A153" s="1" t="s">
        <v>26</v>
      </c>
      <c r="B153" s="1" t="s">
        <v>279</v>
      </c>
      <c r="C153" s="1" t="s">
        <v>76</v>
      </c>
      <c r="D153" s="1" t="s">
        <v>228</v>
      </c>
      <c r="E153" s="1">
        <v>10</v>
      </c>
      <c r="F153" s="1">
        <v>52</v>
      </c>
      <c r="G153" s="1" t="s">
        <v>418</v>
      </c>
    </row>
    <row r="154" spans="1:7" x14ac:dyDescent="0.3">
      <c r="A154" s="1" t="s">
        <v>26</v>
      </c>
      <c r="B154" s="1" t="s">
        <v>279</v>
      </c>
      <c r="C154" s="1" t="s">
        <v>219</v>
      </c>
      <c r="D154" s="1" t="s">
        <v>88</v>
      </c>
      <c r="E154" s="1">
        <v>12</v>
      </c>
      <c r="F154" s="1">
        <v>24</v>
      </c>
      <c r="G154" s="1" t="s">
        <v>419</v>
      </c>
    </row>
    <row r="155" spans="1:7" x14ac:dyDescent="0.3">
      <c r="A155" s="1" t="s">
        <v>26</v>
      </c>
      <c r="B155" s="1" t="s">
        <v>279</v>
      </c>
      <c r="C155" s="1" t="s">
        <v>115</v>
      </c>
      <c r="D155" s="1" t="s">
        <v>223</v>
      </c>
      <c r="E155" s="1">
        <v>13</v>
      </c>
      <c r="F155" s="1">
        <v>167</v>
      </c>
      <c r="G155" s="1" t="s">
        <v>420</v>
      </c>
    </row>
    <row r="156" spans="1:7" x14ac:dyDescent="0.3">
      <c r="A156" s="1" t="s">
        <v>26</v>
      </c>
      <c r="B156" s="1" t="s">
        <v>279</v>
      </c>
      <c r="C156" s="1" t="s">
        <v>128</v>
      </c>
      <c r="D156" s="1" t="s">
        <v>231</v>
      </c>
      <c r="E156" s="1">
        <v>15</v>
      </c>
      <c r="F156" s="1">
        <v>14</v>
      </c>
      <c r="G156" s="1" t="s">
        <v>421</v>
      </c>
    </row>
    <row r="157" spans="1:7" x14ac:dyDescent="0.3">
      <c r="A157" s="1" t="s">
        <v>26</v>
      </c>
      <c r="B157" s="1" t="s">
        <v>279</v>
      </c>
      <c r="C157" s="1" t="s">
        <v>136</v>
      </c>
      <c r="D157" s="1" t="s">
        <v>183</v>
      </c>
      <c r="E157" s="1">
        <v>16</v>
      </c>
      <c r="F157" s="1">
        <v>23</v>
      </c>
      <c r="G157" s="1" t="s">
        <v>422</v>
      </c>
    </row>
    <row r="158" spans="1:7" x14ac:dyDescent="0.3">
      <c r="A158" s="1" t="s">
        <v>26</v>
      </c>
      <c r="B158" s="1" t="s">
        <v>279</v>
      </c>
      <c r="C158" s="1" t="s">
        <v>140</v>
      </c>
      <c r="D158" s="1" t="s">
        <v>189</v>
      </c>
      <c r="E158" s="1">
        <v>25</v>
      </c>
      <c r="F158" s="1">
        <v>41</v>
      </c>
      <c r="G158" s="1" t="s">
        <v>423</v>
      </c>
    </row>
    <row r="159" spans="1:7" x14ac:dyDescent="0.3">
      <c r="A159" s="1" t="s">
        <v>26</v>
      </c>
      <c r="B159" s="1" t="s">
        <v>279</v>
      </c>
      <c r="C159" s="1" t="s">
        <v>109</v>
      </c>
      <c r="D159" s="1" t="s">
        <v>334</v>
      </c>
      <c r="E159" s="1">
        <v>66</v>
      </c>
      <c r="F159" s="1">
        <v>74</v>
      </c>
      <c r="G159" s="1" t="s">
        <v>424</v>
      </c>
    </row>
    <row r="160" spans="1:7" x14ac:dyDescent="0.3">
      <c r="A160" s="1" t="s">
        <v>26</v>
      </c>
      <c r="B160" s="1" t="s">
        <v>279</v>
      </c>
      <c r="C160" s="1" t="s">
        <v>92</v>
      </c>
      <c r="D160" s="1" t="s">
        <v>335</v>
      </c>
      <c r="E160" s="1">
        <v>62</v>
      </c>
      <c r="F160" s="1">
        <v>200</v>
      </c>
      <c r="G160" s="1" t="s">
        <v>108</v>
      </c>
    </row>
    <row r="161" spans="1:7" x14ac:dyDescent="0.3">
      <c r="A161" s="1" t="s">
        <v>26</v>
      </c>
      <c r="B161" s="1" t="s">
        <v>279</v>
      </c>
      <c r="C161" s="1" t="s">
        <v>68</v>
      </c>
      <c r="D161" s="1" t="s">
        <v>336</v>
      </c>
      <c r="E161" s="1">
        <v>35</v>
      </c>
      <c r="F161" s="1">
        <v>106</v>
      </c>
      <c r="G161" s="1" t="s">
        <v>425</v>
      </c>
    </row>
    <row r="162" spans="1:7" x14ac:dyDescent="0.3">
      <c r="A162" s="1" t="s">
        <v>26</v>
      </c>
      <c r="B162" s="1" t="s">
        <v>279</v>
      </c>
      <c r="C162" s="1" t="s">
        <v>74</v>
      </c>
      <c r="D162" s="1" t="s">
        <v>237</v>
      </c>
      <c r="E162" s="1">
        <v>81</v>
      </c>
      <c r="F162" s="1">
        <v>55</v>
      </c>
      <c r="G162" s="1" t="s">
        <v>426</v>
      </c>
    </row>
    <row r="163" spans="1:7" x14ac:dyDescent="0.3">
      <c r="A163" s="1" t="s">
        <v>26</v>
      </c>
      <c r="B163" s="1" t="s">
        <v>246</v>
      </c>
      <c r="C163" s="1" t="s">
        <v>55</v>
      </c>
      <c r="D163" s="1" t="s">
        <v>329</v>
      </c>
      <c r="E163" s="1">
        <v>1</v>
      </c>
      <c r="F163" s="1">
        <v>166</v>
      </c>
      <c r="G163" s="1" t="s">
        <v>427</v>
      </c>
    </row>
    <row r="164" spans="1:7" x14ac:dyDescent="0.3">
      <c r="A164" s="1" t="s">
        <v>26</v>
      </c>
      <c r="B164" s="1" t="s">
        <v>246</v>
      </c>
      <c r="C164" s="1" t="s">
        <v>195</v>
      </c>
      <c r="D164" s="1" t="s">
        <v>133</v>
      </c>
      <c r="E164" s="1">
        <v>2</v>
      </c>
      <c r="F164" s="1">
        <v>56</v>
      </c>
      <c r="G164" s="1" t="s">
        <v>428</v>
      </c>
    </row>
    <row r="165" spans="1:7" x14ac:dyDescent="0.3">
      <c r="A165" s="1" t="s">
        <v>26</v>
      </c>
      <c r="B165" s="1" t="s">
        <v>246</v>
      </c>
      <c r="C165" s="1" t="s">
        <v>243</v>
      </c>
      <c r="D165" s="1" t="s">
        <v>338</v>
      </c>
      <c r="E165" s="1">
        <v>3</v>
      </c>
      <c r="F165" s="1">
        <v>88</v>
      </c>
      <c r="G165" s="1" t="s">
        <v>429</v>
      </c>
    </row>
    <row r="166" spans="1:7" x14ac:dyDescent="0.3">
      <c r="A166" s="1" t="s">
        <v>26</v>
      </c>
      <c r="B166" s="1" t="s">
        <v>246</v>
      </c>
      <c r="C166" s="1" t="s">
        <v>174</v>
      </c>
      <c r="D166" s="1" t="s">
        <v>112</v>
      </c>
      <c r="E166" s="1">
        <v>5</v>
      </c>
      <c r="F166" s="1">
        <v>42</v>
      </c>
      <c r="G166" s="1" t="s">
        <v>430</v>
      </c>
    </row>
    <row r="167" spans="1:7" x14ac:dyDescent="0.3">
      <c r="A167" s="1" t="s">
        <v>26</v>
      </c>
      <c r="B167" s="1" t="s">
        <v>246</v>
      </c>
      <c r="C167" s="1" t="s">
        <v>150</v>
      </c>
      <c r="D167" s="1" t="s">
        <v>139</v>
      </c>
      <c r="E167" s="1">
        <v>6</v>
      </c>
      <c r="F167" s="1">
        <v>73</v>
      </c>
      <c r="G167" s="1" t="s">
        <v>431</v>
      </c>
    </row>
    <row r="168" spans="1:7" x14ac:dyDescent="0.3">
      <c r="A168" s="1" t="s">
        <v>26</v>
      </c>
      <c r="B168" s="1" t="s">
        <v>246</v>
      </c>
      <c r="C168" s="1" t="s">
        <v>189</v>
      </c>
      <c r="D168" s="1" t="s">
        <v>198</v>
      </c>
      <c r="E168" s="1">
        <v>41</v>
      </c>
      <c r="F168" s="1">
        <v>8</v>
      </c>
      <c r="G168" s="1" t="s">
        <v>432</v>
      </c>
    </row>
    <row r="169" spans="1:7" x14ac:dyDescent="0.3">
      <c r="A169" s="1" t="s">
        <v>26</v>
      </c>
      <c r="B169" s="1" t="s">
        <v>246</v>
      </c>
      <c r="C169" s="1" t="s">
        <v>124</v>
      </c>
      <c r="D169" s="1" t="s">
        <v>339</v>
      </c>
      <c r="E169" s="1">
        <v>7</v>
      </c>
      <c r="F169" s="1">
        <v>122</v>
      </c>
      <c r="G169" s="1" t="s">
        <v>433</v>
      </c>
    </row>
    <row r="170" spans="1:7" x14ac:dyDescent="0.3">
      <c r="A170" s="1" t="s">
        <v>26</v>
      </c>
      <c r="B170" s="1" t="s">
        <v>246</v>
      </c>
      <c r="C170" s="1" t="s">
        <v>92</v>
      </c>
      <c r="D170" s="1" t="s">
        <v>100</v>
      </c>
      <c r="E170" s="1">
        <v>62</v>
      </c>
      <c r="F170" s="1">
        <v>9</v>
      </c>
      <c r="G170" s="1" t="s">
        <v>434</v>
      </c>
    </row>
    <row r="171" spans="1:7" x14ac:dyDescent="0.3">
      <c r="A171" s="1" t="s">
        <v>26</v>
      </c>
      <c r="B171" s="1" t="s">
        <v>246</v>
      </c>
      <c r="C171" s="1" t="s">
        <v>76</v>
      </c>
      <c r="D171" s="1" t="s">
        <v>340</v>
      </c>
      <c r="E171" s="1">
        <v>10</v>
      </c>
      <c r="F171" s="1">
        <v>137</v>
      </c>
      <c r="G171" s="1" t="s">
        <v>435</v>
      </c>
    </row>
    <row r="172" spans="1:7" x14ac:dyDescent="0.3">
      <c r="A172" s="1" t="s">
        <v>26</v>
      </c>
      <c r="B172" s="1" t="s">
        <v>246</v>
      </c>
      <c r="C172" s="1" t="s">
        <v>219</v>
      </c>
      <c r="D172" s="1" t="s">
        <v>333</v>
      </c>
      <c r="E172" s="1">
        <v>12</v>
      </c>
      <c r="F172" s="1">
        <v>124</v>
      </c>
      <c r="G172" s="1" t="s">
        <v>436</v>
      </c>
    </row>
    <row r="173" spans="1:7" x14ac:dyDescent="0.3">
      <c r="A173" s="1" t="s">
        <v>26</v>
      </c>
      <c r="B173" s="1" t="s">
        <v>246</v>
      </c>
      <c r="C173" s="1" t="s">
        <v>115</v>
      </c>
      <c r="D173" s="1" t="s">
        <v>165</v>
      </c>
      <c r="E173" s="1">
        <v>13</v>
      </c>
      <c r="F173" s="1">
        <v>83</v>
      </c>
      <c r="G173" s="1" t="s">
        <v>421</v>
      </c>
    </row>
    <row r="174" spans="1:7" x14ac:dyDescent="0.3">
      <c r="A174" s="1" t="s">
        <v>26</v>
      </c>
      <c r="B174" s="1" t="s">
        <v>246</v>
      </c>
      <c r="C174" s="1" t="s">
        <v>231</v>
      </c>
      <c r="D174" s="1" t="s">
        <v>199</v>
      </c>
      <c r="E174" s="1">
        <v>14</v>
      </c>
      <c r="F174" s="1">
        <v>57</v>
      </c>
      <c r="G174" s="1" t="s">
        <v>437</v>
      </c>
    </row>
    <row r="175" spans="1:7" x14ac:dyDescent="0.3">
      <c r="A175" s="1" t="s">
        <v>26</v>
      </c>
      <c r="B175" s="1" t="s">
        <v>246</v>
      </c>
      <c r="C175" s="1" t="s">
        <v>136</v>
      </c>
      <c r="D175" s="1" t="s">
        <v>118</v>
      </c>
      <c r="E175" s="1">
        <v>16</v>
      </c>
      <c r="F175" s="1">
        <v>99</v>
      </c>
      <c r="G175" s="1" t="s">
        <v>438</v>
      </c>
    </row>
    <row r="176" spans="1:7" x14ac:dyDescent="0.3">
      <c r="A176" s="1" t="s">
        <v>26</v>
      </c>
      <c r="B176" s="1" t="s">
        <v>246</v>
      </c>
      <c r="C176" s="1" t="s">
        <v>128</v>
      </c>
      <c r="D176" s="1" t="s">
        <v>229</v>
      </c>
      <c r="E176" s="1">
        <v>15</v>
      </c>
      <c r="F176" s="1">
        <v>91</v>
      </c>
      <c r="G176" s="1" t="s">
        <v>439</v>
      </c>
    </row>
    <row r="177" spans="1:7" x14ac:dyDescent="0.3">
      <c r="A177" s="1" t="s">
        <v>26</v>
      </c>
      <c r="B177" s="1" t="s">
        <v>246</v>
      </c>
      <c r="C177" s="1" t="s">
        <v>335</v>
      </c>
      <c r="D177" s="1" t="s">
        <v>201</v>
      </c>
      <c r="E177" s="1">
        <v>200</v>
      </c>
      <c r="F177" s="1">
        <v>19</v>
      </c>
      <c r="G177" s="1" t="s">
        <v>440</v>
      </c>
    </row>
    <row r="178" spans="1:7" x14ac:dyDescent="0.3">
      <c r="A178" s="1" t="s">
        <v>26</v>
      </c>
      <c r="B178" s="1" t="s">
        <v>246</v>
      </c>
      <c r="C178" s="1" t="s">
        <v>223</v>
      </c>
      <c r="D178" s="1" t="s">
        <v>80</v>
      </c>
      <c r="E178" s="1">
        <v>167</v>
      </c>
      <c r="F178" s="1">
        <v>20</v>
      </c>
      <c r="G178" s="1" t="s">
        <v>441</v>
      </c>
    </row>
    <row r="179" spans="1:7" x14ac:dyDescent="0.3">
      <c r="A179" s="1" t="s">
        <v>26</v>
      </c>
      <c r="B179" s="1" t="s">
        <v>246</v>
      </c>
      <c r="C179" s="1" t="s">
        <v>237</v>
      </c>
      <c r="D179" s="1" t="s">
        <v>222</v>
      </c>
      <c r="E179" s="1">
        <v>55</v>
      </c>
      <c r="F179" s="1">
        <v>21</v>
      </c>
      <c r="G179" s="1" t="s">
        <v>442</v>
      </c>
    </row>
    <row r="180" spans="1:7" x14ac:dyDescent="0.3">
      <c r="A180" s="1" t="s">
        <v>26</v>
      </c>
      <c r="B180" s="1" t="s">
        <v>246</v>
      </c>
      <c r="C180" s="1" t="s">
        <v>183</v>
      </c>
      <c r="D180" s="1" t="s">
        <v>104</v>
      </c>
      <c r="E180" s="1">
        <v>23</v>
      </c>
      <c r="F180" s="1">
        <v>161</v>
      </c>
      <c r="G180" s="1" t="s">
        <v>443</v>
      </c>
    </row>
    <row r="181" spans="1:7" x14ac:dyDescent="0.3">
      <c r="A181" s="1" t="s">
        <v>26</v>
      </c>
      <c r="B181" s="1" t="s">
        <v>246</v>
      </c>
      <c r="C181" s="1" t="s">
        <v>88</v>
      </c>
      <c r="D181" s="1" t="s">
        <v>342</v>
      </c>
      <c r="E181" s="1">
        <v>24</v>
      </c>
      <c r="F181" s="1">
        <v>108</v>
      </c>
      <c r="G181" s="1" t="s">
        <v>444</v>
      </c>
    </row>
    <row r="182" spans="1:7" x14ac:dyDescent="0.3">
      <c r="A182" s="1" t="s">
        <v>26</v>
      </c>
      <c r="B182" s="1" t="s">
        <v>246</v>
      </c>
      <c r="C182" s="1" t="s">
        <v>140</v>
      </c>
      <c r="D182" s="1" t="s">
        <v>211</v>
      </c>
      <c r="E182" s="1">
        <v>25</v>
      </c>
      <c r="F182" s="1">
        <v>61</v>
      </c>
      <c r="G182" s="1" t="s">
        <v>445</v>
      </c>
    </row>
    <row r="183" spans="1:7" x14ac:dyDescent="0.3">
      <c r="A183" s="1" t="s">
        <v>26</v>
      </c>
      <c r="B183" s="1" t="s">
        <v>246</v>
      </c>
      <c r="C183" s="1" t="s">
        <v>162</v>
      </c>
      <c r="D183" s="1" t="s">
        <v>204</v>
      </c>
      <c r="E183" s="1">
        <v>34</v>
      </c>
      <c r="F183" s="1">
        <v>29</v>
      </c>
      <c r="G183" s="1" t="s">
        <v>446</v>
      </c>
    </row>
    <row r="184" spans="1:7" x14ac:dyDescent="0.3">
      <c r="A184" s="1" t="s">
        <v>26</v>
      </c>
      <c r="B184" s="1" t="s">
        <v>246</v>
      </c>
      <c r="C184" s="1" t="s">
        <v>332</v>
      </c>
      <c r="D184" s="1" t="s">
        <v>121</v>
      </c>
      <c r="E184" s="1">
        <v>153</v>
      </c>
      <c r="F184" s="1">
        <v>31</v>
      </c>
      <c r="G184" s="1" t="s">
        <v>447</v>
      </c>
    </row>
    <row r="185" spans="1:7" x14ac:dyDescent="0.3">
      <c r="A185" s="1" t="s">
        <v>26</v>
      </c>
      <c r="B185" s="1" t="s">
        <v>246</v>
      </c>
      <c r="C185" s="1" t="s">
        <v>181</v>
      </c>
      <c r="D185" s="1" t="s">
        <v>113</v>
      </c>
      <c r="E185" s="1">
        <v>69</v>
      </c>
      <c r="F185" s="1">
        <v>37</v>
      </c>
      <c r="G185" s="1" t="s">
        <v>448</v>
      </c>
    </row>
    <row r="186" spans="1:7" x14ac:dyDescent="0.3">
      <c r="A186" s="1" t="s">
        <v>26</v>
      </c>
      <c r="B186" s="1" t="s">
        <v>246</v>
      </c>
      <c r="C186" s="1" t="s">
        <v>109</v>
      </c>
      <c r="D186" s="1" t="s">
        <v>343</v>
      </c>
      <c r="E186" s="1">
        <v>66</v>
      </c>
      <c r="F186" s="1">
        <v>86</v>
      </c>
      <c r="G186" s="1" t="s">
        <v>449</v>
      </c>
    </row>
    <row r="187" spans="1:7" x14ac:dyDescent="0.3">
      <c r="A187" s="1" t="s">
        <v>26</v>
      </c>
      <c r="B187" s="1" t="s">
        <v>246</v>
      </c>
      <c r="C187" s="1" t="s">
        <v>65</v>
      </c>
      <c r="D187" s="1" t="s">
        <v>125</v>
      </c>
      <c r="E187" s="1">
        <v>26</v>
      </c>
      <c r="F187" s="1">
        <v>36</v>
      </c>
      <c r="G187" s="1" t="s">
        <v>450</v>
      </c>
    </row>
    <row r="188" spans="1:7" x14ac:dyDescent="0.3">
      <c r="A188" s="1" t="s">
        <v>26</v>
      </c>
      <c r="B188" s="1" t="s">
        <v>246</v>
      </c>
      <c r="C188" s="1" t="s">
        <v>127</v>
      </c>
      <c r="D188" s="1" t="s">
        <v>337</v>
      </c>
      <c r="E188" s="1">
        <v>65</v>
      </c>
      <c r="F188" s="1">
        <v>147</v>
      </c>
      <c r="G188" s="1" t="s">
        <v>451</v>
      </c>
    </row>
    <row r="189" spans="1:7" x14ac:dyDescent="0.3">
      <c r="A189" s="1" t="s">
        <v>26</v>
      </c>
      <c r="B189" s="1" t="s">
        <v>246</v>
      </c>
      <c r="C189" s="1" t="s">
        <v>68</v>
      </c>
      <c r="D189" s="1" t="s">
        <v>85</v>
      </c>
      <c r="E189" s="1">
        <v>35</v>
      </c>
      <c r="F189" s="1">
        <v>54</v>
      </c>
      <c r="G189" s="1" t="s">
        <v>452</v>
      </c>
    </row>
    <row r="190" spans="1:7" x14ac:dyDescent="0.3">
      <c r="A190" s="1" t="s">
        <v>26</v>
      </c>
      <c r="B190" s="1" t="s">
        <v>246</v>
      </c>
      <c r="C190" s="1" t="s">
        <v>228</v>
      </c>
      <c r="D190" s="1" t="s">
        <v>70</v>
      </c>
      <c r="E190" s="1">
        <v>52</v>
      </c>
      <c r="F190" s="1">
        <v>46</v>
      </c>
      <c r="G190" s="1" t="s">
        <v>453</v>
      </c>
    </row>
    <row r="191" spans="1:7" x14ac:dyDescent="0.3">
      <c r="A191" s="1" t="s">
        <v>26</v>
      </c>
      <c r="B191" s="1" t="s">
        <v>246</v>
      </c>
      <c r="C191" s="1" t="s">
        <v>334</v>
      </c>
      <c r="D191" s="1" t="s">
        <v>344</v>
      </c>
      <c r="E191" s="1">
        <v>74</v>
      </c>
      <c r="F191" s="1">
        <v>109</v>
      </c>
      <c r="G191" s="1" t="s">
        <v>454</v>
      </c>
    </row>
    <row r="192" spans="1:7" x14ac:dyDescent="0.3">
      <c r="A192" s="1" t="s">
        <v>26</v>
      </c>
      <c r="B192" s="1" t="s">
        <v>246</v>
      </c>
      <c r="C192" s="1" t="s">
        <v>175</v>
      </c>
      <c r="D192" s="1" t="s">
        <v>156</v>
      </c>
      <c r="E192" s="1">
        <v>97</v>
      </c>
      <c r="F192" s="1">
        <v>93</v>
      </c>
      <c r="G192" s="1" t="s">
        <v>455</v>
      </c>
    </row>
    <row r="193" spans="1:7" x14ac:dyDescent="0.3">
      <c r="A193" s="1" t="s">
        <v>26</v>
      </c>
      <c r="B193" s="1" t="s">
        <v>246</v>
      </c>
      <c r="C193" s="1" t="s">
        <v>74</v>
      </c>
      <c r="D193" s="1" t="s">
        <v>346</v>
      </c>
      <c r="E193" s="1">
        <v>81</v>
      </c>
      <c r="F193" s="1">
        <v>144</v>
      </c>
      <c r="G193" s="1" t="s">
        <v>456</v>
      </c>
    </row>
    <row r="194" spans="1:7" x14ac:dyDescent="0.3">
      <c r="A194" s="1" t="s">
        <v>26</v>
      </c>
      <c r="B194" s="1" t="s">
        <v>246</v>
      </c>
      <c r="C194" s="1" t="s">
        <v>336</v>
      </c>
      <c r="D194" s="1" t="s">
        <v>196</v>
      </c>
      <c r="E194" s="1">
        <v>106</v>
      </c>
      <c r="F194" s="1">
        <v>103</v>
      </c>
      <c r="G194" s="1" t="s">
        <v>457</v>
      </c>
    </row>
    <row r="195" spans="1:7" x14ac:dyDescent="0.3">
      <c r="A195" s="1" t="s">
        <v>26</v>
      </c>
      <c r="B195" s="1" t="s">
        <v>54</v>
      </c>
      <c r="C195" s="1" t="s">
        <v>55</v>
      </c>
      <c r="D195" s="1" t="s">
        <v>137</v>
      </c>
      <c r="E195" s="1">
        <v>1</v>
      </c>
      <c r="F195" s="1">
        <v>75</v>
      </c>
      <c r="G195" s="1" t="s">
        <v>458</v>
      </c>
    </row>
    <row r="196" spans="1:7" x14ac:dyDescent="0.3">
      <c r="A196" s="1" t="s">
        <v>26</v>
      </c>
      <c r="B196" s="1" t="s">
        <v>54</v>
      </c>
      <c r="C196" s="1" t="s">
        <v>195</v>
      </c>
      <c r="D196" s="1" t="s">
        <v>347</v>
      </c>
      <c r="E196" s="1">
        <v>2</v>
      </c>
      <c r="F196" s="1">
        <v>310</v>
      </c>
      <c r="G196" s="1" t="s">
        <v>280</v>
      </c>
    </row>
    <row r="197" spans="1:7" x14ac:dyDescent="0.3">
      <c r="A197" s="1" t="s">
        <v>26</v>
      </c>
      <c r="B197" s="1" t="s">
        <v>54</v>
      </c>
      <c r="C197" s="1" t="s">
        <v>243</v>
      </c>
      <c r="D197" s="1" t="s">
        <v>144</v>
      </c>
      <c r="E197" s="1">
        <v>3</v>
      </c>
      <c r="F197" s="1">
        <v>67</v>
      </c>
      <c r="G197" s="1" t="s">
        <v>420</v>
      </c>
    </row>
    <row r="198" spans="1:7" x14ac:dyDescent="0.3">
      <c r="A198" s="1" t="s">
        <v>26</v>
      </c>
      <c r="B198" s="1" t="s">
        <v>54</v>
      </c>
      <c r="C198" s="1" t="s">
        <v>109</v>
      </c>
      <c r="D198" s="1" t="s">
        <v>103</v>
      </c>
      <c r="E198" s="1">
        <v>66</v>
      </c>
      <c r="F198" s="1">
        <v>4</v>
      </c>
      <c r="G198" s="1" t="s">
        <v>459</v>
      </c>
    </row>
    <row r="199" spans="1:7" x14ac:dyDescent="0.3">
      <c r="A199" s="1" t="s">
        <v>26</v>
      </c>
      <c r="B199" s="1" t="s">
        <v>54</v>
      </c>
      <c r="C199" s="1" t="s">
        <v>174</v>
      </c>
      <c r="D199" s="1" t="s">
        <v>349</v>
      </c>
      <c r="E199" s="1">
        <v>5</v>
      </c>
      <c r="F199" s="1">
        <v>68</v>
      </c>
      <c r="G199" s="1" t="s">
        <v>460</v>
      </c>
    </row>
    <row r="200" spans="1:7" x14ac:dyDescent="0.3">
      <c r="A200" s="1" t="s">
        <v>26</v>
      </c>
      <c r="B200" s="1" t="s">
        <v>54</v>
      </c>
      <c r="C200" s="1" t="s">
        <v>150</v>
      </c>
      <c r="D200" s="1" t="s">
        <v>348</v>
      </c>
      <c r="E200" s="1">
        <v>6</v>
      </c>
      <c r="F200" s="1">
        <v>98</v>
      </c>
      <c r="G200" s="1" t="s">
        <v>413</v>
      </c>
    </row>
    <row r="201" spans="1:7" x14ac:dyDescent="0.3">
      <c r="A201" s="1" t="s">
        <v>26</v>
      </c>
      <c r="B201" s="1" t="s">
        <v>54</v>
      </c>
      <c r="C201" s="1" t="s">
        <v>198</v>
      </c>
      <c r="D201" s="1" t="s">
        <v>330</v>
      </c>
      <c r="E201" s="1">
        <v>8</v>
      </c>
      <c r="F201" s="1">
        <v>251</v>
      </c>
      <c r="G201" s="1" t="s">
        <v>280</v>
      </c>
    </row>
    <row r="202" spans="1:7" x14ac:dyDescent="0.3">
      <c r="A202" s="1" t="s">
        <v>26</v>
      </c>
      <c r="B202" s="1" t="s">
        <v>54</v>
      </c>
      <c r="C202" s="1" t="s">
        <v>124</v>
      </c>
      <c r="D202" s="1" t="s">
        <v>62</v>
      </c>
      <c r="E202" s="1">
        <v>7</v>
      </c>
      <c r="F202" s="1">
        <v>142</v>
      </c>
      <c r="G202" s="1" t="s">
        <v>461</v>
      </c>
    </row>
    <row r="203" spans="1:7" x14ac:dyDescent="0.3">
      <c r="A203" s="1" t="s">
        <v>26</v>
      </c>
      <c r="B203" s="1" t="s">
        <v>54</v>
      </c>
      <c r="C203" s="1" t="s">
        <v>100</v>
      </c>
      <c r="D203" s="1" t="s">
        <v>350</v>
      </c>
      <c r="E203" s="1">
        <v>9</v>
      </c>
      <c r="F203" s="1">
        <v>59</v>
      </c>
      <c r="G203" s="1" t="s">
        <v>462</v>
      </c>
    </row>
    <row r="204" spans="1:7" x14ac:dyDescent="0.3">
      <c r="A204" s="1" t="s">
        <v>26</v>
      </c>
      <c r="B204" s="1" t="s">
        <v>54</v>
      </c>
      <c r="C204" s="1" t="s">
        <v>76</v>
      </c>
      <c r="D204" s="1" t="s">
        <v>122</v>
      </c>
      <c r="E204" s="1">
        <v>10</v>
      </c>
      <c r="F204" s="1">
        <v>49</v>
      </c>
      <c r="G204" s="1" t="s">
        <v>463</v>
      </c>
    </row>
    <row r="205" spans="1:7" x14ac:dyDescent="0.3">
      <c r="A205" s="1" t="s">
        <v>26</v>
      </c>
      <c r="B205" s="1" t="s">
        <v>54</v>
      </c>
      <c r="C205" s="1" t="s">
        <v>74</v>
      </c>
      <c r="D205" s="1" t="s">
        <v>147</v>
      </c>
      <c r="E205" s="1">
        <v>81</v>
      </c>
      <c r="F205" s="1">
        <v>11</v>
      </c>
      <c r="G205" s="1" t="s">
        <v>464</v>
      </c>
    </row>
    <row r="206" spans="1:7" x14ac:dyDescent="0.3">
      <c r="A206" s="1" t="s">
        <v>26</v>
      </c>
      <c r="B206" s="1" t="s">
        <v>54</v>
      </c>
      <c r="C206" s="1" t="s">
        <v>219</v>
      </c>
      <c r="D206" s="1" t="s">
        <v>351</v>
      </c>
      <c r="E206" s="1">
        <v>12</v>
      </c>
      <c r="F206" s="1">
        <v>112</v>
      </c>
      <c r="G206" s="1" t="s">
        <v>465</v>
      </c>
    </row>
    <row r="207" spans="1:7" x14ac:dyDescent="0.3">
      <c r="A207" s="1" t="s">
        <v>26</v>
      </c>
      <c r="B207" s="1" t="s">
        <v>54</v>
      </c>
      <c r="C207" s="1" t="s">
        <v>115</v>
      </c>
      <c r="D207" s="1" t="s">
        <v>130</v>
      </c>
      <c r="E207" s="1">
        <v>13</v>
      </c>
      <c r="F207" s="1">
        <v>44</v>
      </c>
      <c r="G207" s="1" t="s">
        <v>466</v>
      </c>
    </row>
    <row r="208" spans="1:7" x14ac:dyDescent="0.3">
      <c r="A208" s="1" t="s">
        <v>26</v>
      </c>
      <c r="B208" s="1" t="s">
        <v>54</v>
      </c>
      <c r="C208" s="1" t="s">
        <v>231</v>
      </c>
      <c r="D208" s="1" t="s">
        <v>56</v>
      </c>
      <c r="E208" s="1">
        <v>14</v>
      </c>
      <c r="F208" s="1">
        <v>149</v>
      </c>
      <c r="G208" s="1" t="s">
        <v>467</v>
      </c>
    </row>
    <row r="209" spans="1:7" x14ac:dyDescent="0.3">
      <c r="A209" s="1" t="s">
        <v>26</v>
      </c>
      <c r="B209" s="1" t="s">
        <v>54</v>
      </c>
      <c r="C209" s="1" t="s">
        <v>136</v>
      </c>
      <c r="D209" s="1" t="s">
        <v>178</v>
      </c>
      <c r="E209" s="1">
        <v>16</v>
      </c>
      <c r="F209" s="1">
        <v>72</v>
      </c>
      <c r="G209" s="1" t="s">
        <v>468</v>
      </c>
    </row>
    <row r="210" spans="1:7" x14ac:dyDescent="0.3">
      <c r="A210" s="1" t="s">
        <v>26</v>
      </c>
      <c r="B210" s="1" t="s">
        <v>54</v>
      </c>
      <c r="C210" s="1" t="s">
        <v>336</v>
      </c>
      <c r="D210" s="1" t="s">
        <v>172</v>
      </c>
      <c r="E210" s="1">
        <v>106</v>
      </c>
      <c r="F210" s="1">
        <v>17</v>
      </c>
      <c r="G210" s="1" t="s">
        <v>469</v>
      </c>
    </row>
    <row r="211" spans="1:7" x14ac:dyDescent="0.3">
      <c r="A211" s="1" t="s">
        <v>26</v>
      </c>
      <c r="B211" s="1" t="s">
        <v>54</v>
      </c>
      <c r="C211" s="1" t="s">
        <v>128</v>
      </c>
      <c r="D211" s="1" t="s">
        <v>352</v>
      </c>
      <c r="E211" s="1">
        <v>15</v>
      </c>
      <c r="F211" s="1">
        <v>227</v>
      </c>
      <c r="G211" s="1" t="s">
        <v>470</v>
      </c>
    </row>
    <row r="212" spans="1:7" x14ac:dyDescent="0.3">
      <c r="A212" s="1" t="s">
        <v>26</v>
      </c>
      <c r="B212" s="1" t="s">
        <v>54</v>
      </c>
      <c r="C212" s="1" t="s">
        <v>85</v>
      </c>
      <c r="D212" s="1" t="s">
        <v>91</v>
      </c>
      <c r="E212" s="1">
        <v>54</v>
      </c>
      <c r="F212" s="1">
        <v>18</v>
      </c>
      <c r="G212" s="1" t="s">
        <v>445</v>
      </c>
    </row>
    <row r="213" spans="1:7" x14ac:dyDescent="0.3">
      <c r="A213" s="1" t="s">
        <v>26</v>
      </c>
      <c r="B213" s="1" t="s">
        <v>54</v>
      </c>
      <c r="C213" s="1" t="s">
        <v>201</v>
      </c>
      <c r="D213" s="1" t="s">
        <v>190</v>
      </c>
      <c r="E213" s="1">
        <v>19</v>
      </c>
      <c r="F213" s="1">
        <v>39</v>
      </c>
      <c r="G213" s="1" t="s">
        <v>471</v>
      </c>
    </row>
    <row r="214" spans="1:7" x14ac:dyDescent="0.3">
      <c r="A214" s="1" t="s">
        <v>26</v>
      </c>
      <c r="B214" s="1" t="s">
        <v>54</v>
      </c>
      <c r="C214" s="1" t="s">
        <v>80</v>
      </c>
      <c r="D214" s="1" t="s">
        <v>64</v>
      </c>
      <c r="E214" s="1">
        <v>20</v>
      </c>
      <c r="F214" s="1">
        <v>53</v>
      </c>
      <c r="G214" s="1" t="s">
        <v>445</v>
      </c>
    </row>
    <row r="215" spans="1:7" x14ac:dyDescent="0.3">
      <c r="A215" s="1" t="s">
        <v>26</v>
      </c>
      <c r="B215" s="1" t="s">
        <v>54</v>
      </c>
      <c r="C215" s="1" t="s">
        <v>228</v>
      </c>
      <c r="D215" s="1" t="s">
        <v>159</v>
      </c>
      <c r="E215" s="1">
        <v>52</v>
      </c>
      <c r="F215" s="1">
        <v>22</v>
      </c>
      <c r="G215" s="1" t="s">
        <v>472</v>
      </c>
    </row>
    <row r="216" spans="1:7" x14ac:dyDescent="0.3">
      <c r="A216" s="1" t="s">
        <v>26</v>
      </c>
      <c r="B216" s="1" t="s">
        <v>54</v>
      </c>
      <c r="C216" s="1" t="s">
        <v>222</v>
      </c>
      <c r="D216" s="1" t="s">
        <v>220</v>
      </c>
      <c r="E216" s="1">
        <v>21</v>
      </c>
      <c r="F216" s="1">
        <v>82</v>
      </c>
      <c r="G216" s="1" t="s">
        <v>256</v>
      </c>
    </row>
    <row r="217" spans="1:7" x14ac:dyDescent="0.3">
      <c r="A217" s="1" t="s">
        <v>26</v>
      </c>
      <c r="B217" s="1" t="s">
        <v>54</v>
      </c>
      <c r="C217" s="1" t="s">
        <v>183</v>
      </c>
      <c r="D217" s="1" t="s">
        <v>241</v>
      </c>
      <c r="E217" s="1">
        <v>23</v>
      </c>
      <c r="F217" s="1">
        <v>45</v>
      </c>
      <c r="G217" s="1" t="s">
        <v>473</v>
      </c>
    </row>
    <row r="218" spans="1:7" x14ac:dyDescent="0.3">
      <c r="A218" s="1" t="s">
        <v>26</v>
      </c>
      <c r="B218" s="1" t="s">
        <v>54</v>
      </c>
      <c r="C218" s="1" t="s">
        <v>88</v>
      </c>
      <c r="D218" s="1" t="s">
        <v>180</v>
      </c>
      <c r="E218" s="1">
        <v>24</v>
      </c>
      <c r="F218" s="1">
        <v>80</v>
      </c>
      <c r="G218" s="1" t="s">
        <v>245</v>
      </c>
    </row>
    <row r="219" spans="1:7" x14ac:dyDescent="0.3">
      <c r="A219" s="1" t="s">
        <v>26</v>
      </c>
      <c r="B219" s="1" t="s">
        <v>54</v>
      </c>
      <c r="C219" s="1" t="s">
        <v>140</v>
      </c>
      <c r="D219" s="1" t="s">
        <v>192</v>
      </c>
      <c r="E219" s="1">
        <v>25</v>
      </c>
      <c r="F219" s="1">
        <v>77</v>
      </c>
      <c r="G219" s="1" t="s">
        <v>474</v>
      </c>
    </row>
    <row r="220" spans="1:7" x14ac:dyDescent="0.3">
      <c r="A220" s="1" t="s">
        <v>26</v>
      </c>
      <c r="B220" s="1" t="s">
        <v>54</v>
      </c>
      <c r="C220" s="1" t="s">
        <v>204</v>
      </c>
      <c r="D220" s="1" t="s">
        <v>353</v>
      </c>
      <c r="E220" s="1">
        <v>29</v>
      </c>
      <c r="F220" s="1">
        <v>872</v>
      </c>
      <c r="G220" s="1" t="s">
        <v>475</v>
      </c>
    </row>
    <row r="221" spans="1:7" x14ac:dyDescent="0.3">
      <c r="A221" s="1" t="s">
        <v>26</v>
      </c>
      <c r="B221" s="1" t="s">
        <v>54</v>
      </c>
      <c r="C221" s="1" t="s">
        <v>121</v>
      </c>
      <c r="D221" s="1" t="s">
        <v>240</v>
      </c>
      <c r="E221" s="1">
        <v>31</v>
      </c>
      <c r="F221" s="1">
        <v>48</v>
      </c>
      <c r="G221" s="1" t="s">
        <v>105</v>
      </c>
    </row>
    <row r="222" spans="1:7" x14ac:dyDescent="0.3">
      <c r="A222" s="1" t="s">
        <v>26</v>
      </c>
      <c r="B222" s="1" t="s">
        <v>54</v>
      </c>
      <c r="C222" s="1" t="s">
        <v>175</v>
      </c>
      <c r="D222" s="1" t="s">
        <v>116</v>
      </c>
      <c r="E222" s="1">
        <v>97</v>
      </c>
      <c r="F222" s="1">
        <v>32</v>
      </c>
      <c r="G222" s="1" t="s">
        <v>476</v>
      </c>
    </row>
    <row r="223" spans="1:7" x14ac:dyDescent="0.3">
      <c r="A223" s="1" t="s">
        <v>26</v>
      </c>
      <c r="B223" s="1" t="s">
        <v>54</v>
      </c>
      <c r="C223" s="1" t="s">
        <v>125</v>
      </c>
      <c r="D223" s="1" t="s">
        <v>207</v>
      </c>
      <c r="E223" s="1">
        <v>36</v>
      </c>
      <c r="F223" s="1">
        <v>27</v>
      </c>
      <c r="G223" s="1" t="s">
        <v>477</v>
      </c>
    </row>
    <row r="224" spans="1:7" x14ac:dyDescent="0.3">
      <c r="A224" s="1" t="s">
        <v>26</v>
      </c>
      <c r="B224" s="1" t="s">
        <v>54</v>
      </c>
      <c r="C224" s="1" t="s">
        <v>127</v>
      </c>
      <c r="D224" s="1" t="s">
        <v>67</v>
      </c>
      <c r="E224" s="1">
        <v>65</v>
      </c>
      <c r="F224" s="1">
        <v>28</v>
      </c>
      <c r="G224" s="1" t="s">
        <v>215</v>
      </c>
    </row>
    <row r="225" spans="1:7" x14ac:dyDescent="0.3">
      <c r="A225" s="1" t="s">
        <v>26</v>
      </c>
      <c r="B225" s="1" t="s">
        <v>54</v>
      </c>
      <c r="C225" s="1" t="s">
        <v>113</v>
      </c>
      <c r="D225" s="1" t="s">
        <v>95</v>
      </c>
      <c r="E225" s="1">
        <v>37</v>
      </c>
      <c r="F225" s="1">
        <v>50</v>
      </c>
      <c r="G225" s="1" t="s">
        <v>478</v>
      </c>
    </row>
    <row r="226" spans="1:7" x14ac:dyDescent="0.3">
      <c r="A226" s="1" t="s">
        <v>26</v>
      </c>
      <c r="B226" s="1" t="s">
        <v>54</v>
      </c>
      <c r="C226" s="1" t="s">
        <v>344</v>
      </c>
      <c r="D226" s="1" t="s">
        <v>79</v>
      </c>
      <c r="E226" s="1">
        <v>109</v>
      </c>
      <c r="F226" s="1">
        <v>33</v>
      </c>
      <c r="G226" s="1" t="s">
        <v>269</v>
      </c>
    </row>
    <row r="227" spans="1:7" x14ac:dyDescent="0.3">
      <c r="A227" s="1" t="s">
        <v>26</v>
      </c>
      <c r="B227" s="1" t="s">
        <v>54</v>
      </c>
      <c r="C227" s="1" t="s">
        <v>189</v>
      </c>
      <c r="D227" s="1" t="s">
        <v>354</v>
      </c>
      <c r="E227" s="1">
        <v>41</v>
      </c>
      <c r="F227" s="1">
        <v>150</v>
      </c>
      <c r="G227" s="1" t="s">
        <v>479</v>
      </c>
    </row>
    <row r="228" spans="1:7" x14ac:dyDescent="0.3">
      <c r="A228" s="1" t="s">
        <v>26</v>
      </c>
      <c r="B228" s="1" t="s">
        <v>54</v>
      </c>
      <c r="C228" s="1" t="s">
        <v>104</v>
      </c>
      <c r="D228" s="1" t="s">
        <v>153</v>
      </c>
      <c r="E228" s="1">
        <v>161</v>
      </c>
      <c r="F228" s="1">
        <v>115</v>
      </c>
      <c r="G228" s="1" t="s">
        <v>480</v>
      </c>
    </row>
    <row r="229" spans="1:7" x14ac:dyDescent="0.3">
      <c r="A229" s="1" t="s">
        <v>26</v>
      </c>
      <c r="B229" s="1" t="s">
        <v>54</v>
      </c>
      <c r="C229" s="1" t="s">
        <v>92</v>
      </c>
      <c r="D229" s="1" t="s">
        <v>213</v>
      </c>
      <c r="E229" s="1">
        <v>62</v>
      </c>
      <c r="F229" s="1">
        <v>92</v>
      </c>
      <c r="G229" s="1" t="s">
        <v>481</v>
      </c>
    </row>
    <row r="230" spans="1:7" x14ac:dyDescent="0.3">
      <c r="A230" s="1" t="s">
        <v>26</v>
      </c>
      <c r="B230" s="1" t="s">
        <v>54</v>
      </c>
      <c r="C230" s="1" t="s">
        <v>118</v>
      </c>
      <c r="D230" s="1" t="s">
        <v>110</v>
      </c>
      <c r="E230" s="1">
        <v>99</v>
      </c>
      <c r="F230" s="1">
        <v>64</v>
      </c>
      <c r="G230" s="1" t="s">
        <v>482</v>
      </c>
    </row>
    <row r="231" spans="1:7" x14ac:dyDescent="0.3">
      <c r="A231" s="1" t="s">
        <v>26</v>
      </c>
      <c r="B231" s="1" t="s">
        <v>54</v>
      </c>
      <c r="C231" s="1" t="s">
        <v>65</v>
      </c>
      <c r="D231" s="1" t="s">
        <v>331</v>
      </c>
      <c r="E231" s="1">
        <v>26</v>
      </c>
      <c r="F231" s="1">
        <v>104</v>
      </c>
      <c r="G231" s="1" t="s">
        <v>483</v>
      </c>
    </row>
    <row r="232" spans="1:7" x14ac:dyDescent="0.3">
      <c r="A232" s="1" t="s">
        <v>26</v>
      </c>
      <c r="B232" s="1" t="s">
        <v>54</v>
      </c>
      <c r="C232" s="1" t="s">
        <v>338</v>
      </c>
      <c r="D232" s="1" t="s">
        <v>171</v>
      </c>
      <c r="E232" s="1">
        <v>88</v>
      </c>
      <c r="F232" s="1">
        <v>139</v>
      </c>
      <c r="G232" s="1" t="s">
        <v>484</v>
      </c>
    </row>
    <row r="233" spans="1:7" x14ac:dyDescent="0.3">
      <c r="A233" s="1" t="s">
        <v>26</v>
      </c>
      <c r="B233" s="1" t="s">
        <v>54</v>
      </c>
      <c r="C233" s="1" t="s">
        <v>181</v>
      </c>
      <c r="D233" s="1" t="s">
        <v>355</v>
      </c>
      <c r="E233" s="1">
        <v>69</v>
      </c>
      <c r="F233" s="1">
        <v>132</v>
      </c>
      <c r="G233" s="1" t="s">
        <v>485</v>
      </c>
    </row>
    <row r="234" spans="1:7" x14ac:dyDescent="0.3">
      <c r="A234" s="1" t="s">
        <v>26</v>
      </c>
      <c r="B234" s="1" t="s">
        <v>54</v>
      </c>
      <c r="C234" s="1" t="s">
        <v>237</v>
      </c>
      <c r="D234" s="1" t="s">
        <v>131</v>
      </c>
      <c r="E234" s="1">
        <v>55</v>
      </c>
      <c r="F234" s="1">
        <v>138</v>
      </c>
      <c r="G234" s="1" t="s">
        <v>486</v>
      </c>
    </row>
    <row r="235" spans="1:7" x14ac:dyDescent="0.3">
      <c r="A235" s="1" t="s">
        <v>26</v>
      </c>
      <c r="B235" s="1" t="s">
        <v>54</v>
      </c>
      <c r="C235" s="1" t="s">
        <v>333</v>
      </c>
      <c r="D235" s="1" t="s">
        <v>58</v>
      </c>
      <c r="E235" s="1">
        <v>124</v>
      </c>
      <c r="F235" s="1">
        <v>128</v>
      </c>
      <c r="G235" s="1" t="s">
        <v>487</v>
      </c>
    </row>
    <row r="236" spans="1:7" x14ac:dyDescent="0.3">
      <c r="A236" s="1" t="s">
        <v>26</v>
      </c>
      <c r="B236" s="1" t="s">
        <v>54</v>
      </c>
      <c r="C236" s="1" t="s">
        <v>339</v>
      </c>
      <c r="D236" s="1" t="s">
        <v>357</v>
      </c>
      <c r="E236" s="1">
        <v>122</v>
      </c>
      <c r="F236" s="1">
        <v>120</v>
      </c>
      <c r="G236" s="1" t="s">
        <v>488</v>
      </c>
    </row>
    <row r="237" spans="1:7" x14ac:dyDescent="0.3">
      <c r="A237" s="1" t="s">
        <v>26</v>
      </c>
      <c r="B237" s="1" t="s">
        <v>54</v>
      </c>
      <c r="C237" s="1" t="s">
        <v>329</v>
      </c>
      <c r="D237" s="1" t="s">
        <v>358</v>
      </c>
      <c r="E237" s="1">
        <v>166</v>
      </c>
      <c r="F237" s="1">
        <v>121</v>
      </c>
      <c r="G237" s="1" t="s">
        <v>489</v>
      </c>
    </row>
    <row r="238" spans="1:7" x14ac:dyDescent="0.3">
      <c r="A238" s="1" t="s">
        <v>26</v>
      </c>
      <c r="B238" s="1" t="s">
        <v>54</v>
      </c>
      <c r="C238" s="1" t="s">
        <v>165</v>
      </c>
      <c r="D238" s="1" t="s">
        <v>359</v>
      </c>
      <c r="E238" s="1">
        <v>83</v>
      </c>
      <c r="F238" s="1">
        <v>193</v>
      </c>
      <c r="G238" s="1" t="s">
        <v>490</v>
      </c>
    </row>
    <row r="239" spans="1:7" x14ac:dyDescent="0.3">
      <c r="A239" s="1" t="s">
        <v>26</v>
      </c>
      <c r="B239" s="1" t="s">
        <v>54</v>
      </c>
      <c r="C239" s="1" t="s">
        <v>223</v>
      </c>
      <c r="D239" s="1" t="s">
        <v>356</v>
      </c>
      <c r="E239" s="1">
        <v>167</v>
      </c>
      <c r="F239" s="1">
        <v>220</v>
      </c>
      <c r="G239" s="1" t="s">
        <v>491</v>
      </c>
    </row>
    <row r="240" spans="1:7" x14ac:dyDescent="0.3">
      <c r="A240" s="1" t="s">
        <v>26</v>
      </c>
      <c r="B240" s="1" t="s">
        <v>54</v>
      </c>
      <c r="C240" s="1" t="s">
        <v>346</v>
      </c>
      <c r="D240" s="1" t="s">
        <v>360</v>
      </c>
      <c r="E240" s="1">
        <v>144</v>
      </c>
      <c r="F240" s="1">
        <v>76</v>
      </c>
      <c r="G240" s="1" t="s">
        <v>492</v>
      </c>
    </row>
    <row r="241" spans="1:7" x14ac:dyDescent="0.3">
      <c r="A241" s="1" t="s">
        <v>26</v>
      </c>
      <c r="B241" s="1" t="s">
        <v>54</v>
      </c>
      <c r="C241" s="1" t="s">
        <v>68</v>
      </c>
      <c r="D241" s="1" t="s">
        <v>61</v>
      </c>
      <c r="E241" s="1">
        <v>35</v>
      </c>
      <c r="F241" s="1">
        <v>43</v>
      </c>
      <c r="G241" s="1" t="s">
        <v>493</v>
      </c>
    </row>
    <row r="242" spans="1:7" x14ac:dyDescent="0.3">
      <c r="A242" s="1" t="s">
        <v>26</v>
      </c>
      <c r="B242" s="1" t="s">
        <v>54</v>
      </c>
      <c r="C242" s="1" t="s">
        <v>337</v>
      </c>
      <c r="D242" s="1" t="s">
        <v>168</v>
      </c>
      <c r="E242" s="1">
        <v>147</v>
      </c>
      <c r="F242" s="1">
        <v>60</v>
      </c>
      <c r="G242" s="1" t="s">
        <v>494</v>
      </c>
    </row>
    <row r="243" spans="1:7" x14ac:dyDescent="0.3">
      <c r="A243" s="1" t="s">
        <v>26</v>
      </c>
      <c r="B243" s="1" t="s">
        <v>54</v>
      </c>
      <c r="C243" s="1" t="s">
        <v>70</v>
      </c>
      <c r="D243" s="1" t="s">
        <v>235</v>
      </c>
      <c r="E243" s="1">
        <v>46</v>
      </c>
      <c r="F243" s="1">
        <v>38</v>
      </c>
      <c r="G243" s="1" t="s">
        <v>495</v>
      </c>
    </row>
    <row r="244" spans="1:7" x14ac:dyDescent="0.3">
      <c r="A244" s="1" t="s">
        <v>26</v>
      </c>
      <c r="B244" s="1" t="s">
        <v>54</v>
      </c>
      <c r="C244" s="1" t="s">
        <v>343</v>
      </c>
      <c r="D244" s="1" t="s">
        <v>217</v>
      </c>
      <c r="E244" s="1">
        <v>86</v>
      </c>
      <c r="F244" s="1">
        <v>131</v>
      </c>
      <c r="G244" s="1" t="s">
        <v>496</v>
      </c>
    </row>
    <row r="245" spans="1:7" x14ac:dyDescent="0.3">
      <c r="A245" s="1" t="s">
        <v>26</v>
      </c>
      <c r="B245" s="1" t="s">
        <v>54</v>
      </c>
      <c r="C245" s="1" t="s">
        <v>162</v>
      </c>
      <c r="D245" s="1" t="s">
        <v>186</v>
      </c>
      <c r="E245" s="1">
        <v>34</v>
      </c>
      <c r="F245" s="1">
        <v>40</v>
      </c>
      <c r="G245" s="1" t="s">
        <v>497</v>
      </c>
    </row>
    <row r="246" spans="1:7" x14ac:dyDescent="0.3">
      <c r="A246" s="1" t="s">
        <v>26</v>
      </c>
      <c r="B246" s="1" t="s">
        <v>54</v>
      </c>
      <c r="C246" s="1" t="s">
        <v>133</v>
      </c>
      <c r="D246" s="1" t="s">
        <v>86</v>
      </c>
      <c r="E246" s="1">
        <v>56</v>
      </c>
      <c r="F246" s="1">
        <v>95</v>
      </c>
      <c r="G246" s="1" t="s">
        <v>498</v>
      </c>
    </row>
    <row r="247" spans="1:7" x14ac:dyDescent="0.3">
      <c r="A247" s="1" t="s">
        <v>26</v>
      </c>
      <c r="B247" s="1" t="s">
        <v>54</v>
      </c>
      <c r="C247" s="1" t="s">
        <v>334</v>
      </c>
      <c r="D247" s="1" t="s">
        <v>119</v>
      </c>
      <c r="E247" s="1">
        <v>74</v>
      </c>
      <c r="F247" s="1">
        <v>96</v>
      </c>
      <c r="G247" s="1" t="s">
        <v>499</v>
      </c>
    </row>
    <row r="248" spans="1:7" x14ac:dyDescent="0.3">
      <c r="A248" s="1" t="s">
        <v>26</v>
      </c>
      <c r="B248" s="1" t="s">
        <v>54</v>
      </c>
      <c r="C248" s="1" t="s">
        <v>332</v>
      </c>
      <c r="D248" s="1" t="s">
        <v>226</v>
      </c>
      <c r="E248" s="1">
        <v>153</v>
      </c>
      <c r="F248" s="1">
        <v>70</v>
      </c>
      <c r="G248" s="1" t="s">
        <v>500</v>
      </c>
    </row>
    <row r="249" spans="1:7" x14ac:dyDescent="0.3">
      <c r="A249" s="1" t="s">
        <v>26</v>
      </c>
      <c r="B249" s="1" t="s">
        <v>54</v>
      </c>
      <c r="C249" s="1" t="s">
        <v>112</v>
      </c>
      <c r="D249" s="1" t="s">
        <v>341</v>
      </c>
      <c r="E249" s="1">
        <v>42</v>
      </c>
      <c r="F249" s="1">
        <v>90</v>
      </c>
      <c r="G249" s="1" t="s">
        <v>501</v>
      </c>
    </row>
    <row r="250" spans="1:7" x14ac:dyDescent="0.3">
      <c r="A250" s="1" t="s">
        <v>26</v>
      </c>
      <c r="B250" s="1" t="s">
        <v>54</v>
      </c>
      <c r="C250" s="1" t="s">
        <v>139</v>
      </c>
      <c r="D250" s="1" t="s">
        <v>361</v>
      </c>
      <c r="E250" s="1">
        <v>73</v>
      </c>
      <c r="F250" s="1">
        <v>280</v>
      </c>
      <c r="G250" s="1" t="s">
        <v>502</v>
      </c>
    </row>
    <row r="251" spans="1:7" x14ac:dyDescent="0.3">
      <c r="A251" s="1" t="s">
        <v>26</v>
      </c>
      <c r="B251" s="1" t="s">
        <v>54</v>
      </c>
      <c r="C251" s="1" t="s">
        <v>199</v>
      </c>
      <c r="D251" s="1" t="s">
        <v>145</v>
      </c>
      <c r="E251" s="1">
        <v>57</v>
      </c>
      <c r="F251" s="1">
        <v>51</v>
      </c>
      <c r="G251" s="1" t="s">
        <v>503</v>
      </c>
    </row>
    <row r="252" spans="1:7" x14ac:dyDescent="0.3">
      <c r="A252" s="1" t="s">
        <v>26</v>
      </c>
      <c r="B252" s="1" t="s">
        <v>54</v>
      </c>
      <c r="C252" s="1" t="s">
        <v>340</v>
      </c>
      <c r="D252" s="1" t="s">
        <v>101</v>
      </c>
      <c r="E252" s="1">
        <v>137</v>
      </c>
      <c r="F252" s="1">
        <v>89</v>
      </c>
      <c r="G252" s="1" t="s">
        <v>504</v>
      </c>
    </row>
    <row r="253" spans="1:7" x14ac:dyDescent="0.3">
      <c r="A253" s="1" t="s">
        <v>26</v>
      </c>
      <c r="B253" s="1" t="s">
        <v>54</v>
      </c>
      <c r="C253" s="1" t="s">
        <v>342</v>
      </c>
      <c r="D253" s="1" t="s">
        <v>208</v>
      </c>
      <c r="E253" s="1">
        <v>108</v>
      </c>
      <c r="F253" s="1">
        <v>87</v>
      </c>
      <c r="G253" s="1" t="s">
        <v>505</v>
      </c>
    </row>
    <row r="254" spans="1:7" x14ac:dyDescent="0.3">
      <c r="A254" s="1" t="s">
        <v>26</v>
      </c>
      <c r="B254" s="1" t="s">
        <v>54</v>
      </c>
      <c r="C254" s="1" t="s">
        <v>156</v>
      </c>
      <c r="D254" s="1" t="s">
        <v>143</v>
      </c>
      <c r="E254" s="1">
        <v>93</v>
      </c>
      <c r="F254" s="1">
        <v>78</v>
      </c>
      <c r="G254" s="1" t="s">
        <v>506</v>
      </c>
    </row>
    <row r="255" spans="1:7" x14ac:dyDescent="0.3">
      <c r="A255" s="1" t="s">
        <v>26</v>
      </c>
      <c r="B255" s="1" t="s">
        <v>54</v>
      </c>
      <c r="C255" s="1" t="s">
        <v>335</v>
      </c>
      <c r="D255" s="1" t="s">
        <v>202</v>
      </c>
      <c r="E255" s="1">
        <v>200</v>
      </c>
      <c r="F255" s="1">
        <v>133</v>
      </c>
      <c r="G255" s="1" t="s">
        <v>507</v>
      </c>
    </row>
    <row r="256" spans="1:7" x14ac:dyDescent="0.3">
      <c r="A256" s="1" t="s">
        <v>26</v>
      </c>
      <c r="B256" s="1" t="s">
        <v>54</v>
      </c>
      <c r="C256" s="1" t="s">
        <v>196</v>
      </c>
      <c r="D256" s="1" t="s">
        <v>71</v>
      </c>
      <c r="E256" s="1">
        <v>103</v>
      </c>
      <c r="F256" s="1">
        <v>125</v>
      </c>
      <c r="G256" s="1" t="s">
        <v>508</v>
      </c>
    </row>
    <row r="257" spans="1:7" x14ac:dyDescent="0.3">
      <c r="A257" s="1" t="s">
        <v>26</v>
      </c>
      <c r="B257" s="1" t="s">
        <v>54</v>
      </c>
      <c r="C257" s="1" t="s">
        <v>211</v>
      </c>
      <c r="D257" s="1" t="s">
        <v>234</v>
      </c>
      <c r="E257" s="1">
        <v>61</v>
      </c>
      <c r="F257" s="1">
        <v>113</v>
      </c>
      <c r="G257" s="1" t="s">
        <v>509</v>
      </c>
    </row>
    <row r="258" spans="1:7" x14ac:dyDescent="0.3">
      <c r="A258" s="1" t="s">
        <v>26</v>
      </c>
      <c r="B258" s="1" t="s">
        <v>54</v>
      </c>
      <c r="C258" s="1" t="s">
        <v>229</v>
      </c>
      <c r="D258" s="1" t="s">
        <v>345</v>
      </c>
      <c r="E258" s="1">
        <v>91</v>
      </c>
      <c r="F258" s="1">
        <v>239</v>
      </c>
      <c r="G258" s="1" t="s">
        <v>510</v>
      </c>
    </row>
    <row r="259" spans="1:7" x14ac:dyDescent="0.3">
      <c r="A259" s="1" t="s">
        <v>362</v>
      </c>
      <c r="B259" s="1" t="s">
        <v>54</v>
      </c>
      <c r="C259" s="1" t="s">
        <v>55</v>
      </c>
      <c r="D259" s="1" t="s">
        <v>86</v>
      </c>
      <c r="E259" s="1">
        <v>1</v>
      </c>
      <c r="F259" s="1">
        <v>95</v>
      </c>
      <c r="G259" s="1" t="s">
        <v>511</v>
      </c>
    </row>
    <row r="260" spans="1:7" x14ac:dyDescent="0.3">
      <c r="A260" s="1" t="s">
        <v>362</v>
      </c>
      <c r="B260" s="1" t="s">
        <v>54</v>
      </c>
      <c r="C260" s="1" t="s">
        <v>180</v>
      </c>
      <c r="D260" s="1" t="s">
        <v>363</v>
      </c>
      <c r="E260" s="1">
        <v>93</v>
      </c>
      <c r="F260" s="1">
        <v>96</v>
      </c>
      <c r="G260" s="1" t="s">
        <v>512</v>
      </c>
    </row>
    <row r="261" spans="1:7" x14ac:dyDescent="0.3">
      <c r="A261" s="1" t="s">
        <v>362</v>
      </c>
      <c r="B261" s="1" t="s">
        <v>54</v>
      </c>
      <c r="C261" s="1" t="s">
        <v>240</v>
      </c>
      <c r="D261" s="1" t="s">
        <v>364</v>
      </c>
      <c r="E261" s="1">
        <v>52</v>
      </c>
      <c r="F261" s="1">
        <v>293</v>
      </c>
      <c r="G261" s="1" t="s">
        <v>513</v>
      </c>
    </row>
    <row r="262" spans="1:7" x14ac:dyDescent="0.3">
      <c r="A262" s="1" t="s">
        <v>362</v>
      </c>
      <c r="B262" s="1" t="s">
        <v>54</v>
      </c>
      <c r="C262" s="1" t="s">
        <v>175</v>
      </c>
      <c r="D262" s="1" t="s">
        <v>121</v>
      </c>
      <c r="E262" s="1">
        <v>91</v>
      </c>
      <c r="F262" s="1">
        <v>30</v>
      </c>
      <c r="G262" s="1" t="s">
        <v>514</v>
      </c>
    </row>
    <row r="263" spans="1:7" x14ac:dyDescent="0.3">
      <c r="A263" s="1" t="s">
        <v>362</v>
      </c>
      <c r="B263" s="1" t="s">
        <v>54</v>
      </c>
      <c r="C263" s="1" t="s">
        <v>172</v>
      </c>
      <c r="D263" s="1" t="s">
        <v>192</v>
      </c>
      <c r="E263" s="1">
        <v>21</v>
      </c>
      <c r="F263" s="1">
        <v>82</v>
      </c>
      <c r="G263" s="1" t="s">
        <v>515</v>
      </c>
    </row>
    <row r="264" spans="1:7" x14ac:dyDescent="0.3">
      <c r="A264" s="1" t="s">
        <v>362</v>
      </c>
      <c r="B264" s="1" t="s">
        <v>54</v>
      </c>
      <c r="C264" s="1" t="s">
        <v>139</v>
      </c>
      <c r="D264" s="1" t="s">
        <v>110</v>
      </c>
      <c r="E264" s="1">
        <v>69</v>
      </c>
      <c r="F264" s="1">
        <v>65</v>
      </c>
      <c r="G264" s="1" t="s">
        <v>249</v>
      </c>
    </row>
    <row r="265" spans="1:7" x14ac:dyDescent="0.3">
      <c r="A265" s="1" t="s">
        <v>362</v>
      </c>
      <c r="B265" s="1" t="s">
        <v>54</v>
      </c>
      <c r="C265" s="1" t="s">
        <v>342</v>
      </c>
      <c r="D265" s="1" t="s">
        <v>334</v>
      </c>
      <c r="E265" s="1">
        <v>165</v>
      </c>
      <c r="F265" s="1">
        <v>68</v>
      </c>
      <c r="G265" s="1" t="s">
        <v>516</v>
      </c>
    </row>
    <row r="266" spans="1:7" x14ac:dyDescent="0.3">
      <c r="A266" s="1" t="s">
        <v>362</v>
      </c>
      <c r="B266" s="1" t="s">
        <v>54</v>
      </c>
      <c r="C266" s="1" t="s">
        <v>219</v>
      </c>
      <c r="D266" s="1" t="s">
        <v>367</v>
      </c>
      <c r="E266" s="1">
        <v>13</v>
      </c>
      <c r="F266" s="1">
        <v>224</v>
      </c>
      <c r="G266" s="1" t="s">
        <v>249</v>
      </c>
    </row>
    <row r="267" spans="1:7" x14ac:dyDescent="0.3">
      <c r="A267" s="1" t="s">
        <v>362</v>
      </c>
      <c r="B267" s="1" t="s">
        <v>54</v>
      </c>
      <c r="C267" s="1" t="s">
        <v>115</v>
      </c>
      <c r="D267" s="1" t="s">
        <v>366</v>
      </c>
      <c r="E267" s="1">
        <v>10</v>
      </c>
      <c r="F267" s="1">
        <v>179</v>
      </c>
      <c r="G267" s="1" t="s">
        <v>517</v>
      </c>
    </row>
    <row r="268" spans="1:7" x14ac:dyDescent="0.3">
      <c r="A268" s="1" t="s">
        <v>362</v>
      </c>
      <c r="B268" s="1" t="s">
        <v>54</v>
      </c>
      <c r="C268" s="1" t="s">
        <v>143</v>
      </c>
      <c r="D268" s="1" t="s">
        <v>169</v>
      </c>
      <c r="E268" s="1">
        <v>87</v>
      </c>
      <c r="F268" s="1">
        <v>63</v>
      </c>
      <c r="G268" s="1" t="s">
        <v>518</v>
      </c>
    </row>
    <row r="269" spans="1:7" x14ac:dyDescent="0.3">
      <c r="A269" s="1" t="s">
        <v>362</v>
      </c>
      <c r="B269" s="1" t="s">
        <v>54</v>
      </c>
      <c r="C269" s="1" t="s">
        <v>333</v>
      </c>
      <c r="D269" s="1" t="s">
        <v>360</v>
      </c>
      <c r="E269" s="1">
        <v>105</v>
      </c>
      <c r="F269" s="1">
        <v>76</v>
      </c>
      <c r="G269" s="1" t="s">
        <v>519</v>
      </c>
    </row>
    <row r="270" spans="1:7" x14ac:dyDescent="0.3">
      <c r="A270" s="1" t="s">
        <v>362</v>
      </c>
      <c r="B270" s="1" t="s">
        <v>54</v>
      </c>
      <c r="C270" s="1" t="s">
        <v>112</v>
      </c>
      <c r="D270" s="1" t="s">
        <v>222</v>
      </c>
      <c r="E270" s="1">
        <v>48</v>
      </c>
      <c r="F270" s="1">
        <v>18</v>
      </c>
      <c r="G270" s="1" t="s">
        <v>520</v>
      </c>
    </row>
    <row r="271" spans="1:7" x14ac:dyDescent="0.3">
      <c r="A271" s="1" t="s">
        <v>362</v>
      </c>
      <c r="B271" s="1" t="s">
        <v>54</v>
      </c>
      <c r="C271" s="1" t="s">
        <v>116</v>
      </c>
      <c r="D271" s="1" t="s">
        <v>226</v>
      </c>
      <c r="E271" s="1">
        <v>34</v>
      </c>
      <c r="F271" s="1">
        <v>71</v>
      </c>
      <c r="G271" s="1" t="s">
        <v>521</v>
      </c>
    </row>
    <row r="272" spans="1:7" x14ac:dyDescent="0.3">
      <c r="A272" s="1" t="s">
        <v>362</v>
      </c>
      <c r="B272" s="1" t="s">
        <v>54</v>
      </c>
      <c r="C272" s="1" t="s">
        <v>156</v>
      </c>
      <c r="D272" s="1" t="s">
        <v>196</v>
      </c>
      <c r="E272" s="1">
        <v>70</v>
      </c>
      <c r="F272" s="1">
        <v>98</v>
      </c>
      <c r="G272" s="1" t="s">
        <v>522</v>
      </c>
    </row>
    <row r="273" spans="1:7" x14ac:dyDescent="0.3">
      <c r="A273" s="1" t="s">
        <v>362</v>
      </c>
      <c r="B273" s="1" t="s">
        <v>54</v>
      </c>
      <c r="C273" s="1" t="s">
        <v>130</v>
      </c>
      <c r="D273" s="1" t="s">
        <v>153</v>
      </c>
      <c r="E273" s="1">
        <v>47</v>
      </c>
      <c r="F273" s="1">
        <v>116</v>
      </c>
      <c r="G273" s="1" t="s">
        <v>280</v>
      </c>
    </row>
    <row r="274" spans="1:7" x14ac:dyDescent="0.3">
      <c r="A274" s="1" t="s">
        <v>362</v>
      </c>
      <c r="B274" s="1" t="s">
        <v>54</v>
      </c>
      <c r="C274" s="1" t="s">
        <v>202</v>
      </c>
      <c r="D274" s="1" t="s">
        <v>124</v>
      </c>
      <c r="E274" s="1">
        <v>126</v>
      </c>
      <c r="F274" s="1">
        <v>7</v>
      </c>
      <c r="G274" s="1" t="s">
        <v>523</v>
      </c>
    </row>
    <row r="275" spans="1:7" x14ac:dyDescent="0.3">
      <c r="A275" s="1" t="s">
        <v>362</v>
      </c>
      <c r="B275" s="1" t="s">
        <v>54</v>
      </c>
      <c r="C275" s="1" t="s">
        <v>174</v>
      </c>
      <c r="D275" s="1" t="s">
        <v>235</v>
      </c>
      <c r="E275" s="1">
        <v>4</v>
      </c>
      <c r="F275" s="1">
        <v>38</v>
      </c>
      <c r="G275" s="1" t="s">
        <v>524</v>
      </c>
    </row>
    <row r="276" spans="1:7" x14ac:dyDescent="0.3">
      <c r="A276" s="1" t="s">
        <v>362</v>
      </c>
      <c r="B276" s="1" t="s">
        <v>54</v>
      </c>
      <c r="C276" s="1" t="s">
        <v>331</v>
      </c>
      <c r="D276" s="1" t="s">
        <v>369</v>
      </c>
      <c r="E276" s="1">
        <v>83</v>
      </c>
      <c r="F276" s="1">
        <v>85</v>
      </c>
      <c r="G276" s="1" t="s">
        <v>525</v>
      </c>
    </row>
    <row r="277" spans="1:7" x14ac:dyDescent="0.3">
      <c r="A277" s="1" t="s">
        <v>362</v>
      </c>
      <c r="B277" s="1" t="s">
        <v>54</v>
      </c>
      <c r="C277" s="1" t="s">
        <v>133</v>
      </c>
      <c r="D277" s="1" t="s">
        <v>82</v>
      </c>
      <c r="E277" s="1">
        <v>58</v>
      </c>
      <c r="F277" s="1">
        <v>181</v>
      </c>
      <c r="G277" s="1" t="s">
        <v>526</v>
      </c>
    </row>
    <row r="278" spans="1:7" x14ac:dyDescent="0.3">
      <c r="A278" s="1" t="s">
        <v>362</v>
      </c>
      <c r="B278" s="1" t="s">
        <v>54</v>
      </c>
      <c r="C278" s="1" t="s">
        <v>199</v>
      </c>
      <c r="D278" s="1" t="s">
        <v>92</v>
      </c>
      <c r="E278" s="1">
        <v>55</v>
      </c>
      <c r="F278" s="1">
        <v>31</v>
      </c>
      <c r="G278" s="1" t="s">
        <v>527</v>
      </c>
    </row>
    <row r="279" spans="1:7" x14ac:dyDescent="0.3">
      <c r="A279" s="1" t="s">
        <v>362</v>
      </c>
      <c r="B279" s="1" t="s">
        <v>54</v>
      </c>
      <c r="C279" s="1" t="s">
        <v>65</v>
      </c>
      <c r="D279" s="1" t="s">
        <v>370</v>
      </c>
      <c r="E279" s="1">
        <v>24</v>
      </c>
      <c r="F279" s="1">
        <v>247</v>
      </c>
      <c r="G279" s="1" t="s">
        <v>528</v>
      </c>
    </row>
    <row r="280" spans="1:7" x14ac:dyDescent="0.3">
      <c r="A280" s="1" t="s">
        <v>362</v>
      </c>
      <c r="B280" s="1" t="s">
        <v>54</v>
      </c>
      <c r="C280" s="1" t="s">
        <v>372</v>
      </c>
      <c r="D280" s="1" t="s">
        <v>64</v>
      </c>
      <c r="E280" s="1">
        <v>281</v>
      </c>
      <c r="F280" s="1">
        <v>53</v>
      </c>
      <c r="G280" s="1" t="s">
        <v>529</v>
      </c>
    </row>
    <row r="281" spans="1:7" x14ac:dyDescent="0.3">
      <c r="A281" s="1" t="s">
        <v>362</v>
      </c>
      <c r="B281" s="1" t="s">
        <v>54</v>
      </c>
      <c r="C281" s="1" t="s">
        <v>61</v>
      </c>
      <c r="D281" s="1" t="s">
        <v>145</v>
      </c>
      <c r="E281" s="1">
        <v>45</v>
      </c>
      <c r="F281" s="1">
        <v>56</v>
      </c>
      <c r="G281" s="1" t="s">
        <v>530</v>
      </c>
    </row>
    <row r="282" spans="1:7" x14ac:dyDescent="0.3">
      <c r="A282" s="1" t="s">
        <v>362</v>
      </c>
      <c r="B282" s="1" t="s">
        <v>54</v>
      </c>
      <c r="C282" s="1" t="s">
        <v>201</v>
      </c>
      <c r="D282" s="1" t="s">
        <v>165</v>
      </c>
      <c r="E282" s="1">
        <v>17</v>
      </c>
      <c r="F282" s="1">
        <v>86</v>
      </c>
      <c r="G282" s="1" t="s">
        <v>531</v>
      </c>
    </row>
    <row r="283" spans="1:7" x14ac:dyDescent="0.3">
      <c r="A283" s="1" t="s">
        <v>362</v>
      </c>
      <c r="B283" s="1" t="s">
        <v>54</v>
      </c>
      <c r="C283" s="1" t="s">
        <v>100</v>
      </c>
      <c r="D283" s="1" t="s">
        <v>210</v>
      </c>
      <c r="E283" s="1">
        <v>11</v>
      </c>
      <c r="F283" s="1">
        <v>74</v>
      </c>
      <c r="G283" s="1" t="s">
        <v>532</v>
      </c>
    </row>
    <row r="284" spans="1:7" x14ac:dyDescent="0.3">
      <c r="A284" s="1" t="s">
        <v>362</v>
      </c>
      <c r="B284" s="1" t="s">
        <v>54</v>
      </c>
      <c r="C284" s="1" t="s">
        <v>234</v>
      </c>
      <c r="D284" s="1" t="s">
        <v>229</v>
      </c>
      <c r="E284" s="1">
        <v>115</v>
      </c>
      <c r="F284" s="1">
        <v>90</v>
      </c>
      <c r="G284" s="1" t="s">
        <v>533</v>
      </c>
    </row>
    <row r="285" spans="1:7" x14ac:dyDescent="0.3">
      <c r="A285" s="1" t="s">
        <v>362</v>
      </c>
      <c r="B285" s="1" t="s">
        <v>54</v>
      </c>
      <c r="C285" s="1" t="s">
        <v>373</v>
      </c>
      <c r="D285" s="1" t="s">
        <v>228</v>
      </c>
      <c r="E285" s="1">
        <v>192</v>
      </c>
      <c r="F285" s="1">
        <v>46</v>
      </c>
      <c r="G285" s="1" t="s">
        <v>534</v>
      </c>
    </row>
    <row r="286" spans="1:7" x14ac:dyDescent="0.3">
      <c r="A286" s="1" t="s">
        <v>362</v>
      </c>
      <c r="B286" s="1" t="s">
        <v>54</v>
      </c>
      <c r="C286" s="1" t="s">
        <v>159</v>
      </c>
      <c r="D286" s="1" t="s">
        <v>181</v>
      </c>
      <c r="E286" s="1">
        <v>23</v>
      </c>
      <c r="F286" s="1">
        <v>67</v>
      </c>
      <c r="G286" s="1" t="s">
        <v>269</v>
      </c>
    </row>
    <row r="287" spans="1:7" x14ac:dyDescent="0.3">
      <c r="A287" s="1" t="s">
        <v>362</v>
      </c>
      <c r="B287" s="1" t="s">
        <v>54</v>
      </c>
      <c r="C287" s="1" t="s">
        <v>70</v>
      </c>
      <c r="D287" s="1" t="s">
        <v>79</v>
      </c>
      <c r="E287" s="1">
        <v>49</v>
      </c>
      <c r="F287" s="1">
        <v>32</v>
      </c>
      <c r="G287" s="1" t="s">
        <v>535</v>
      </c>
    </row>
    <row r="288" spans="1:7" x14ac:dyDescent="0.3">
      <c r="A288" s="1" t="s">
        <v>362</v>
      </c>
      <c r="B288" s="1" t="s">
        <v>54</v>
      </c>
      <c r="C288" s="1" t="s">
        <v>338</v>
      </c>
      <c r="D288" s="1" t="s">
        <v>371</v>
      </c>
      <c r="E288" s="1">
        <v>106</v>
      </c>
      <c r="F288" s="1">
        <v>130</v>
      </c>
      <c r="G288" s="1" t="s">
        <v>536</v>
      </c>
    </row>
    <row r="289" spans="1:7" x14ac:dyDescent="0.3">
      <c r="A289" s="1" t="s">
        <v>362</v>
      </c>
      <c r="B289" s="1" t="s">
        <v>54</v>
      </c>
      <c r="C289" s="1" t="s">
        <v>368</v>
      </c>
      <c r="D289" s="1" t="s">
        <v>374</v>
      </c>
      <c r="E289" s="1">
        <v>154</v>
      </c>
      <c r="F289" s="1">
        <v>196</v>
      </c>
      <c r="G289" s="1" t="s">
        <v>537</v>
      </c>
    </row>
    <row r="290" spans="1:7" x14ac:dyDescent="0.3">
      <c r="A290" s="1" t="s">
        <v>362</v>
      </c>
      <c r="B290" s="1" t="s">
        <v>54</v>
      </c>
      <c r="C290" s="1" t="s">
        <v>150</v>
      </c>
      <c r="D290" s="1" t="s">
        <v>190</v>
      </c>
      <c r="E290" s="1">
        <v>6</v>
      </c>
      <c r="F290" s="1">
        <v>41</v>
      </c>
      <c r="G290" s="1" t="s">
        <v>538</v>
      </c>
    </row>
    <row r="291" spans="1:7" x14ac:dyDescent="0.3">
      <c r="A291" s="1" t="s">
        <v>362</v>
      </c>
      <c r="B291" s="1" t="s">
        <v>54</v>
      </c>
      <c r="C291" s="1" t="s">
        <v>103</v>
      </c>
      <c r="D291" s="1" t="s">
        <v>113</v>
      </c>
      <c r="E291" s="1">
        <v>5</v>
      </c>
      <c r="F291" s="1">
        <v>36</v>
      </c>
      <c r="G291" s="1" t="s">
        <v>539</v>
      </c>
    </row>
    <row r="292" spans="1:7" x14ac:dyDescent="0.3">
      <c r="A292" s="1" t="s">
        <v>362</v>
      </c>
      <c r="B292" s="1" t="s">
        <v>54</v>
      </c>
      <c r="C292" s="1" t="s">
        <v>85</v>
      </c>
      <c r="D292" s="1" t="s">
        <v>109</v>
      </c>
      <c r="E292" s="1">
        <v>40</v>
      </c>
      <c r="F292" s="1">
        <v>57</v>
      </c>
      <c r="G292" s="1" t="s">
        <v>540</v>
      </c>
    </row>
    <row r="293" spans="1:7" x14ac:dyDescent="0.3">
      <c r="A293" s="1" t="s">
        <v>362</v>
      </c>
      <c r="B293" s="1" t="s">
        <v>54</v>
      </c>
      <c r="C293" s="1" t="s">
        <v>101</v>
      </c>
      <c r="D293" s="1" t="s">
        <v>125</v>
      </c>
      <c r="E293" s="1">
        <v>92</v>
      </c>
      <c r="F293" s="1">
        <v>43</v>
      </c>
      <c r="G293" s="1" t="s">
        <v>541</v>
      </c>
    </row>
    <row r="294" spans="1:7" x14ac:dyDescent="0.3">
      <c r="A294" s="1" t="s">
        <v>362</v>
      </c>
      <c r="B294" s="1" t="s">
        <v>54</v>
      </c>
      <c r="C294" s="1" t="s">
        <v>204</v>
      </c>
      <c r="D294" s="1" t="s">
        <v>375</v>
      </c>
      <c r="E294" s="1">
        <v>27</v>
      </c>
      <c r="F294" s="1">
        <v>99</v>
      </c>
      <c r="G294" s="1" t="s">
        <v>542</v>
      </c>
    </row>
    <row r="295" spans="1:7" x14ac:dyDescent="0.3">
      <c r="A295" s="1" t="s">
        <v>362</v>
      </c>
      <c r="B295" s="1" t="s">
        <v>54</v>
      </c>
      <c r="C295" s="1" t="s">
        <v>377</v>
      </c>
      <c r="D295" s="1" t="s">
        <v>140</v>
      </c>
      <c r="E295" s="1">
        <v>461</v>
      </c>
      <c r="F295" s="1">
        <v>22</v>
      </c>
      <c r="G295" s="1" t="s">
        <v>543</v>
      </c>
    </row>
    <row r="296" spans="1:7" x14ac:dyDescent="0.3">
      <c r="A296" s="1" t="s">
        <v>362</v>
      </c>
      <c r="B296" s="1" t="s">
        <v>54</v>
      </c>
      <c r="C296" s="1" t="s">
        <v>241</v>
      </c>
      <c r="D296" s="1" t="s">
        <v>178</v>
      </c>
      <c r="E296" s="1">
        <v>59</v>
      </c>
      <c r="F296" s="1">
        <v>75</v>
      </c>
      <c r="G296" s="1" t="s">
        <v>544</v>
      </c>
    </row>
    <row r="297" spans="1:7" x14ac:dyDescent="0.3">
      <c r="A297" s="1" t="s">
        <v>362</v>
      </c>
      <c r="B297" s="1" t="s">
        <v>54</v>
      </c>
      <c r="C297" s="1" t="s">
        <v>186</v>
      </c>
      <c r="D297" s="1" t="s">
        <v>343</v>
      </c>
      <c r="E297" s="1">
        <v>44</v>
      </c>
      <c r="F297" s="1">
        <v>78</v>
      </c>
      <c r="G297" s="1" t="s">
        <v>545</v>
      </c>
    </row>
    <row r="298" spans="1:7" x14ac:dyDescent="0.3">
      <c r="A298" s="1" t="s">
        <v>362</v>
      </c>
      <c r="B298" s="1" t="s">
        <v>54</v>
      </c>
      <c r="C298" s="1" t="s">
        <v>168</v>
      </c>
      <c r="D298" s="1" t="s">
        <v>147</v>
      </c>
      <c r="E298" s="1">
        <v>64</v>
      </c>
      <c r="F298" s="1">
        <v>9</v>
      </c>
      <c r="G298" s="1" t="s">
        <v>546</v>
      </c>
    </row>
    <row r="299" spans="1:7" x14ac:dyDescent="0.3">
      <c r="A299" s="1" t="s">
        <v>362</v>
      </c>
      <c r="B299" s="1" t="s">
        <v>54</v>
      </c>
      <c r="C299" s="1" t="s">
        <v>189</v>
      </c>
      <c r="D299" s="1" t="s">
        <v>91</v>
      </c>
      <c r="E299" s="1">
        <v>37</v>
      </c>
      <c r="F299" s="1">
        <v>19</v>
      </c>
      <c r="G299" s="1" t="s">
        <v>547</v>
      </c>
    </row>
    <row r="300" spans="1:7" x14ac:dyDescent="0.3">
      <c r="A300" s="1" t="s">
        <v>362</v>
      </c>
      <c r="B300" s="1" t="s">
        <v>54</v>
      </c>
      <c r="C300" s="1" t="s">
        <v>376</v>
      </c>
      <c r="D300" s="1" t="s">
        <v>71</v>
      </c>
      <c r="E300" s="1">
        <v>151</v>
      </c>
      <c r="F300" s="1">
        <v>118</v>
      </c>
      <c r="G300" s="1" t="s">
        <v>269</v>
      </c>
    </row>
    <row r="301" spans="1:7" x14ac:dyDescent="0.3">
      <c r="A301" s="1" t="s">
        <v>362</v>
      </c>
      <c r="B301" s="1" t="s">
        <v>54</v>
      </c>
      <c r="C301" s="1" t="s">
        <v>378</v>
      </c>
      <c r="D301" s="1" t="s">
        <v>347</v>
      </c>
      <c r="E301" s="1">
        <v>144</v>
      </c>
      <c r="F301" s="1">
        <v>351</v>
      </c>
      <c r="G301" s="1" t="s">
        <v>548</v>
      </c>
    </row>
    <row r="302" spans="1:7" x14ac:dyDescent="0.3">
      <c r="A302" s="1" t="s">
        <v>362</v>
      </c>
      <c r="B302" s="1" t="s">
        <v>54</v>
      </c>
      <c r="C302" s="1" t="s">
        <v>88</v>
      </c>
      <c r="D302" s="1" t="s">
        <v>348</v>
      </c>
      <c r="E302" s="1">
        <v>20</v>
      </c>
      <c r="F302" s="1">
        <v>88</v>
      </c>
      <c r="G302" s="1" t="s">
        <v>69</v>
      </c>
    </row>
    <row r="303" spans="1:7" x14ac:dyDescent="0.3">
      <c r="A303" s="1" t="s">
        <v>362</v>
      </c>
      <c r="B303" s="1" t="s">
        <v>54</v>
      </c>
      <c r="C303" s="1" t="s">
        <v>119</v>
      </c>
      <c r="D303" s="1" t="s">
        <v>73</v>
      </c>
      <c r="E303" s="1">
        <v>109</v>
      </c>
      <c r="F303" s="1">
        <v>35</v>
      </c>
      <c r="G303" s="1" t="s">
        <v>549</v>
      </c>
    </row>
    <row r="304" spans="1:7" x14ac:dyDescent="0.3">
      <c r="A304" s="1" t="s">
        <v>362</v>
      </c>
      <c r="B304" s="1" t="s">
        <v>54</v>
      </c>
      <c r="C304" s="1" t="s">
        <v>336</v>
      </c>
      <c r="D304" s="1" t="s">
        <v>379</v>
      </c>
      <c r="E304" s="1">
        <v>89</v>
      </c>
      <c r="F304" s="1">
        <v>421</v>
      </c>
      <c r="G304" s="1" t="s">
        <v>550</v>
      </c>
    </row>
    <row r="305" spans="1:7" x14ac:dyDescent="0.3">
      <c r="A305" s="1" t="s">
        <v>362</v>
      </c>
      <c r="B305" s="1" t="s">
        <v>54</v>
      </c>
      <c r="C305" s="1" t="s">
        <v>106</v>
      </c>
      <c r="D305" s="1" t="s">
        <v>380</v>
      </c>
      <c r="E305" s="1">
        <v>110</v>
      </c>
      <c r="F305" s="1">
        <v>163</v>
      </c>
      <c r="G305" s="1" t="s">
        <v>551</v>
      </c>
    </row>
    <row r="306" spans="1:7" x14ac:dyDescent="0.3">
      <c r="A306" s="1" t="s">
        <v>362</v>
      </c>
      <c r="B306" s="1" t="s">
        <v>54</v>
      </c>
      <c r="C306" s="1" t="s">
        <v>137</v>
      </c>
      <c r="D306" s="1" t="s">
        <v>243</v>
      </c>
      <c r="E306" s="1">
        <v>72</v>
      </c>
      <c r="F306" s="1">
        <v>3</v>
      </c>
      <c r="G306" s="1" t="s">
        <v>552</v>
      </c>
    </row>
    <row r="307" spans="1:7" x14ac:dyDescent="0.3">
      <c r="A307" s="1" t="s">
        <v>362</v>
      </c>
      <c r="B307" s="1" t="s">
        <v>54</v>
      </c>
      <c r="C307" s="1" t="s">
        <v>56</v>
      </c>
      <c r="D307" s="1" t="s">
        <v>76</v>
      </c>
      <c r="E307" s="1">
        <v>143</v>
      </c>
      <c r="F307" s="1">
        <v>8</v>
      </c>
      <c r="G307" s="1" t="s">
        <v>553</v>
      </c>
    </row>
    <row r="308" spans="1:7" x14ac:dyDescent="0.3">
      <c r="A308" s="1" t="s">
        <v>362</v>
      </c>
      <c r="B308" s="1" t="s">
        <v>54</v>
      </c>
      <c r="C308" s="1" t="s">
        <v>144</v>
      </c>
      <c r="D308" s="1" t="s">
        <v>151</v>
      </c>
      <c r="E308" s="1">
        <v>62</v>
      </c>
      <c r="F308" s="1">
        <v>100</v>
      </c>
      <c r="G308" s="1" t="s">
        <v>554</v>
      </c>
    </row>
    <row r="309" spans="1:7" x14ac:dyDescent="0.3">
      <c r="A309" s="1" t="s">
        <v>362</v>
      </c>
      <c r="B309" s="1" t="s">
        <v>54</v>
      </c>
      <c r="C309" s="1" t="s">
        <v>127</v>
      </c>
      <c r="D309" s="1" t="s">
        <v>237</v>
      </c>
      <c r="E309" s="1">
        <v>54</v>
      </c>
      <c r="F309" s="1">
        <v>51</v>
      </c>
      <c r="G309" s="1" t="s">
        <v>555</v>
      </c>
    </row>
    <row r="310" spans="1:7" x14ac:dyDescent="0.3">
      <c r="A310" s="1" t="s">
        <v>362</v>
      </c>
      <c r="B310" s="1" t="s">
        <v>54</v>
      </c>
      <c r="C310" s="1" t="s">
        <v>104</v>
      </c>
      <c r="D310" s="1" t="s">
        <v>68</v>
      </c>
      <c r="E310" s="1">
        <v>101</v>
      </c>
      <c r="F310" s="1">
        <v>29</v>
      </c>
      <c r="G310" s="1" t="s">
        <v>556</v>
      </c>
    </row>
    <row r="311" spans="1:7" x14ac:dyDescent="0.3">
      <c r="A311" s="1" t="s">
        <v>362</v>
      </c>
      <c r="B311" s="1" t="s">
        <v>54</v>
      </c>
      <c r="C311" s="1" t="s">
        <v>162</v>
      </c>
      <c r="D311" s="1" t="s">
        <v>341</v>
      </c>
      <c r="E311" s="1">
        <v>25</v>
      </c>
      <c r="F311" s="1">
        <v>79</v>
      </c>
      <c r="G311" s="1" t="s">
        <v>557</v>
      </c>
    </row>
    <row r="312" spans="1:7" x14ac:dyDescent="0.3">
      <c r="A312" s="1" t="s">
        <v>362</v>
      </c>
      <c r="B312" s="1" t="s">
        <v>54</v>
      </c>
      <c r="C312" s="1" t="s">
        <v>349</v>
      </c>
      <c r="D312" s="1" t="s">
        <v>381</v>
      </c>
      <c r="E312" s="1">
        <v>73</v>
      </c>
      <c r="F312" s="1">
        <v>248</v>
      </c>
      <c r="G312" s="1" t="s">
        <v>558</v>
      </c>
    </row>
    <row r="313" spans="1:7" x14ac:dyDescent="0.3">
      <c r="A313" s="1" t="s">
        <v>362</v>
      </c>
      <c r="B313" s="1" t="s">
        <v>54</v>
      </c>
      <c r="C313" s="1" t="s">
        <v>74</v>
      </c>
      <c r="D313" s="1" t="s">
        <v>122</v>
      </c>
      <c r="E313" s="1">
        <v>61</v>
      </c>
      <c r="F313" s="1">
        <v>42</v>
      </c>
      <c r="G313" s="1" t="s">
        <v>559</v>
      </c>
    </row>
    <row r="314" spans="1:7" x14ac:dyDescent="0.3">
      <c r="A314" s="1" t="s">
        <v>362</v>
      </c>
      <c r="B314" s="1" t="s">
        <v>54</v>
      </c>
      <c r="C314" s="1" t="s">
        <v>136</v>
      </c>
      <c r="D314" s="1" t="s">
        <v>351</v>
      </c>
      <c r="E314" s="1">
        <v>12</v>
      </c>
      <c r="F314" s="1">
        <v>117</v>
      </c>
      <c r="G314" s="1" t="s">
        <v>280</v>
      </c>
    </row>
    <row r="315" spans="1:7" x14ac:dyDescent="0.3">
      <c r="A315" s="1" t="s">
        <v>362</v>
      </c>
      <c r="B315" s="1" t="s">
        <v>54</v>
      </c>
      <c r="C315" s="1" t="s">
        <v>128</v>
      </c>
      <c r="D315" s="1" t="s">
        <v>350</v>
      </c>
      <c r="E315" s="1">
        <v>14</v>
      </c>
      <c r="F315" s="1">
        <v>60</v>
      </c>
      <c r="G315" s="1" t="s">
        <v>560</v>
      </c>
    </row>
    <row r="316" spans="1:7" x14ac:dyDescent="0.3">
      <c r="A316" s="1" t="s">
        <v>362</v>
      </c>
      <c r="B316" s="1" t="s">
        <v>54</v>
      </c>
      <c r="C316" s="1" t="s">
        <v>352</v>
      </c>
      <c r="D316" s="1" t="s">
        <v>95</v>
      </c>
      <c r="E316" s="1">
        <v>320</v>
      </c>
      <c r="F316" s="1">
        <v>50</v>
      </c>
      <c r="G316" s="1" t="s">
        <v>561</v>
      </c>
    </row>
    <row r="317" spans="1:7" x14ac:dyDescent="0.3">
      <c r="A317" s="1" t="s">
        <v>362</v>
      </c>
      <c r="B317" s="1" t="s">
        <v>54</v>
      </c>
      <c r="C317" s="1" t="s">
        <v>89</v>
      </c>
      <c r="D317" s="1" t="s">
        <v>220</v>
      </c>
      <c r="E317" s="1">
        <v>123</v>
      </c>
      <c r="F317" s="1">
        <v>77</v>
      </c>
      <c r="G317" s="1" t="s">
        <v>254</v>
      </c>
    </row>
    <row r="318" spans="1:7" x14ac:dyDescent="0.3">
      <c r="A318" s="1" t="s">
        <v>362</v>
      </c>
      <c r="B318" s="1" t="s">
        <v>54</v>
      </c>
      <c r="C318" s="1" t="s">
        <v>357</v>
      </c>
      <c r="D318" s="1" t="s">
        <v>80</v>
      </c>
      <c r="E318" s="1">
        <v>113</v>
      </c>
      <c r="F318" s="1">
        <v>26</v>
      </c>
      <c r="G318" s="1" t="s">
        <v>562</v>
      </c>
    </row>
    <row r="319" spans="1:7" x14ac:dyDescent="0.3">
      <c r="A319" s="1" t="s">
        <v>362</v>
      </c>
      <c r="B319" s="1" t="s">
        <v>54</v>
      </c>
      <c r="C319" s="1" t="s">
        <v>207</v>
      </c>
      <c r="D319" s="1" t="s">
        <v>213</v>
      </c>
      <c r="E319" s="1">
        <v>28</v>
      </c>
      <c r="F319" s="1">
        <v>103</v>
      </c>
      <c r="G319" s="1" t="s">
        <v>563</v>
      </c>
    </row>
    <row r="320" spans="1:7" x14ac:dyDescent="0.3">
      <c r="A320" s="1" t="s">
        <v>362</v>
      </c>
      <c r="B320" s="1" t="s">
        <v>54</v>
      </c>
      <c r="C320" s="1" t="s">
        <v>208</v>
      </c>
      <c r="D320" s="1" t="s">
        <v>332</v>
      </c>
      <c r="E320" s="1">
        <v>125</v>
      </c>
      <c r="F320" s="1">
        <v>111</v>
      </c>
      <c r="G320" s="1" t="s">
        <v>564</v>
      </c>
    </row>
    <row r="321" spans="1:7" x14ac:dyDescent="0.3">
      <c r="A321" s="1" t="s">
        <v>362</v>
      </c>
      <c r="B321" s="1" t="s">
        <v>54</v>
      </c>
      <c r="C321" s="1" t="s">
        <v>382</v>
      </c>
      <c r="D321" s="1" t="s">
        <v>383</v>
      </c>
      <c r="E321" s="1">
        <v>733</v>
      </c>
      <c r="F321" s="1">
        <v>503</v>
      </c>
      <c r="G321" s="1" t="s">
        <v>245</v>
      </c>
    </row>
    <row r="322" spans="1:7" x14ac:dyDescent="0.3">
      <c r="A322" s="1" t="s">
        <v>362</v>
      </c>
      <c r="B322" s="1" t="s">
        <v>54</v>
      </c>
      <c r="C322" s="1" t="s">
        <v>195</v>
      </c>
      <c r="D322" s="1" t="s">
        <v>365</v>
      </c>
      <c r="E322" s="1">
        <v>2</v>
      </c>
      <c r="F322" s="1">
        <v>138</v>
      </c>
      <c r="G322" s="1" t="s">
        <v>565</v>
      </c>
    </row>
    <row r="323" spans="1:7" x14ac:dyDescent="0.3">
      <c r="A323" s="1" t="s">
        <v>362</v>
      </c>
      <c r="B323" s="1" t="s">
        <v>246</v>
      </c>
      <c r="C323" s="1" t="s">
        <v>55</v>
      </c>
      <c r="D323" s="1" t="s">
        <v>180</v>
      </c>
      <c r="E323" s="1">
        <v>1</v>
      </c>
      <c r="F323" s="1">
        <v>93</v>
      </c>
      <c r="G323" s="1" t="s">
        <v>566</v>
      </c>
    </row>
    <row r="324" spans="1:7" x14ac:dyDescent="0.3">
      <c r="A324" s="1" t="s">
        <v>362</v>
      </c>
      <c r="B324" s="1" t="s">
        <v>246</v>
      </c>
      <c r="C324" s="1" t="s">
        <v>240</v>
      </c>
      <c r="D324" s="1" t="s">
        <v>175</v>
      </c>
      <c r="E324" s="1">
        <v>52</v>
      </c>
      <c r="F324" s="1">
        <v>91</v>
      </c>
      <c r="G324" s="1" t="s">
        <v>567</v>
      </c>
    </row>
    <row r="325" spans="1:7" x14ac:dyDescent="0.3">
      <c r="A325" s="1" t="s">
        <v>362</v>
      </c>
      <c r="B325" s="1" t="s">
        <v>246</v>
      </c>
      <c r="C325" s="1" t="s">
        <v>172</v>
      </c>
      <c r="D325" s="1" t="s">
        <v>139</v>
      </c>
      <c r="E325" s="1">
        <v>21</v>
      </c>
      <c r="F325" s="1">
        <v>69</v>
      </c>
      <c r="G325" s="1" t="s">
        <v>568</v>
      </c>
    </row>
    <row r="326" spans="1:7" x14ac:dyDescent="0.3">
      <c r="A326" s="1" t="s">
        <v>362</v>
      </c>
      <c r="B326" s="1" t="s">
        <v>246</v>
      </c>
      <c r="C326" s="1" t="s">
        <v>342</v>
      </c>
      <c r="D326" s="1" t="s">
        <v>219</v>
      </c>
      <c r="E326" s="1">
        <v>165</v>
      </c>
      <c r="F326" s="1">
        <v>13</v>
      </c>
      <c r="G326" s="1" t="s">
        <v>569</v>
      </c>
    </row>
    <row r="327" spans="1:7" x14ac:dyDescent="0.3">
      <c r="A327" s="1" t="s">
        <v>362</v>
      </c>
      <c r="B327" s="1" t="s">
        <v>246</v>
      </c>
      <c r="C327" s="1" t="s">
        <v>115</v>
      </c>
      <c r="D327" s="1" t="s">
        <v>143</v>
      </c>
      <c r="E327" s="1">
        <v>10</v>
      </c>
      <c r="F327" s="1">
        <v>87</v>
      </c>
      <c r="G327" s="1" t="s">
        <v>570</v>
      </c>
    </row>
    <row r="328" spans="1:7" x14ac:dyDescent="0.3">
      <c r="A328" s="1" t="s">
        <v>362</v>
      </c>
      <c r="B328" s="1" t="s">
        <v>246</v>
      </c>
      <c r="C328" s="1" t="s">
        <v>333</v>
      </c>
      <c r="D328" s="1" t="s">
        <v>112</v>
      </c>
      <c r="E328" s="1">
        <v>105</v>
      </c>
      <c r="F328" s="1">
        <v>48</v>
      </c>
      <c r="G328" s="1" t="s">
        <v>571</v>
      </c>
    </row>
    <row r="329" spans="1:7" x14ac:dyDescent="0.3">
      <c r="A329" s="1" t="s">
        <v>362</v>
      </c>
      <c r="B329" s="1" t="s">
        <v>246</v>
      </c>
      <c r="C329" s="1" t="s">
        <v>116</v>
      </c>
      <c r="D329" s="1" t="s">
        <v>156</v>
      </c>
      <c r="E329" s="1">
        <v>34</v>
      </c>
      <c r="F329" s="1">
        <v>70</v>
      </c>
      <c r="G329" s="1" t="s">
        <v>572</v>
      </c>
    </row>
    <row r="330" spans="1:7" x14ac:dyDescent="0.3">
      <c r="A330" s="1" t="s">
        <v>362</v>
      </c>
      <c r="B330" s="1" t="s">
        <v>246</v>
      </c>
      <c r="C330" s="1" t="s">
        <v>130</v>
      </c>
      <c r="D330" s="1" t="s">
        <v>202</v>
      </c>
      <c r="E330" s="1">
        <v>47</v>
      </c>
      <c r="F330" s="1">
        <v>126</v>
      </c>
      <c r="G330" s="1" t="s">
        <v>573</v>
      </c>
    </row>
    <row r="331" spans="1:7" x14ac:dyDescent="0.3">
      <c r="A331" s="1" t="s">
        <v>362</v>
      </c>
      <c r="B331" s="1" t="s">
        <v>246</v>
      </c>
      <c r="C331" s="1" t="s">
        <v>331</v>
      </c>
      <c r="D331" s="1" t="s">
        <v>174</v>
      </c>
      <c r="E331" s="1">
        <v>83</v>
      </c>
      <c r="F331" s="1">
        <v>4</v>
      </c>
      <c r="G331" s="1" t="s">
        <v>574</v>
      </c>
    </row>
    <row r="332" spans="1:7" x14ac:dyDescent="0.3">
      <c r="A332" s="1" t="s">
        <v>362</v>
      </c>
      <c r="B332" s="1" t="s">
        <v>246</v>
      </c>
      <c r="C332" s="1" t="s">
        <v>199</v>
      </c>
      <c r="D332" s="1" t="s">
        <v>133</v>
      </c>
      <c r="E332" s="1">
        <v>55</v>
      </c>
      <c r="F332" s="1">
        <v>58</v>
      </c>
      <c r="G332" s="1" t="s">
        <v>575</v>
      </c>
    </row>
    <row r="333" spans="1:7" x14ac:dyDescent="0.3">
      <c r="A333" s="1" t="s">
        <v>362</v>
      </c>
      <c r="B333" s="1" t="s">
        <v>246</v>
      </c>
      <c r="C333" s="1" t="s">
        <v>65</v>
      </c>
      <c r="D333" s="1" t="s">
        <v>372</v>
      </c>
      <c r="E333" s="1">
        <v>24</v>
      </c>
      <c r="F333" s="1">
        <v>281</v>
      </c>
      <c r="G333" s="1" t="s">
        <v>576</v>
      </c>
    </row>
    <row r="334" spans="1:7" x14ac:dyDescent="0.3">
      <c r="A334" s="1" t="s">
        <v>362</v>
      </c>
      <c r="B334" s="1" t="s">
        <v>246</v>
      </c>
      <c r="C334" s="1" t="s">
        <v>201</v>
      </c>
      <c r="D334" s="1" t="s">
        <v>61</v>
      </c>
      <c r="E334" s="1">
        <v>17</v>
      </c>
      <c r="F334" s="1">
        <v>45</v>
      </c>
      <c r="G334" s="1" t="s">
        <v>577</v>
      </c>
    </row>
    <row r="335" spans="1:7" x14ac:dyDescent="0.3">
      <c r="A335" s="1" t="s">
        <v>362</v>
      </c>
      <c r="B335" s="1" t="s">
        <v>246</v>
      </c>
      <c r="C335" s="1" t="s">
        <v>100</v>
      </c>
      <c r="D335" s="1" t="s">
        <v>234</v>
      </c>
      <c r="E335" s="1">
        <v>11</v>
      </c>
      <c r="F335" s="1">
        <v>115</v>
      </c>
      <c r="G335" s="1" t="s">
        <v>578</v>
      </c>
    </row>
    <row r="336" spans="1:7" x14ac:dyDescent="0.3">
      <c r="A336" s="1" t="s">
        <v>362</v>
      </c>
      <c r="B336" s="1" t="s">
        <v>246</v>
      </c>
      <c r="C336" s="1" t="s">
        <v>373</v>
      </c>
      <c r="D336" s="1" t="s">
        <v>159</v>
      </c>
      <c r="E336" s="1">
        <v>192</v>
      </c>
      <c r="F336" s="1">
        <v>23</v>
      </c>
      <c r="G336" s="1" t="s">
        <v>579</v>
      </c>
    </row>
    <row r="337" spans="1:7" x14ac:dyDescent="0.3">
      <c r="A337" s="1" t="s">
        <v>362</v>
      </c>
      <c r="B337" s="1" t="s">
        <v>246</v>
      </c>
      <c r="C337" s="1" t="s">
        <v>70</v>
      </c>
      <c r="D337" s="1" t="s">
        <v>338</v>
      </c>
      <c r="E337" s="1">
        <v>49</v>
      </c>
      <c r="F337" s="1">
        <v>106</v>
      </c>
      <c r="G337" s="1" t="s">
        <v>580</v>
      </c>
    </row>
    <row r="338" spans="1:7" x14ac:dyDescent="0.3">
      <c r="A338" s="1" t="s">
        <v>362</v>
      </c>
      <c r="B338" s="1" t="s">
        <v>246</v>
      </c>
      <c r="C338" s="1" t="s">
        <v>150</v>
      </c>
      <c r="D338" s="1" t="s">
        <v>368</v>
      </c>
      <c r="E338" s="1">
        <v>6</v>
      </c>
      <c r="F338" s="1">
        <v>154</v>
      </c>
      <c r="G338" s="1" t="s">
        <v>581</v>
      </c>
    </row>
    <row r="339" spans="1:7" x14ac:dyDescent="0.3">
      <c r="A339" s="1" t="s">
        <v>362</v>
      </c>
      <c r="B339" s="1" t="s">
        <v>246</v>
      </c>
      <c r="C339" s="1" t="s">
        <v>103</v>
      </c>
      <c r="D339" s="1" t="s">
        <v>85</v>
      </c>
      <c r="E339" s="1">
        <v>5</v>
      </c>
      <c r="F339" s="1">
        <v>40</v>
      </c>
      <c r="G339" s="1" t="s">
        <v>582</v>
      </c>
    </row>
    <row r="340" spans="1:7" x14ac:dyDescent="0.3">
      <c r="A340" s="1" t="s">
        <v>362</v>
      </c>
      <c r="B340" s="1" t="s">
        <v>246</v>
      </c>
      <c r="C340" s="1" t="s">
        <v>204</v>
      </c>
      <c r="D340" s="1" t="s">
        <v>101</v>
      </c>
      <c r="E340" s="1">
        <v>27</v>
      </c>
      <c r="F340" s="1">
        <v>92</v>
      </c>
      <c r="G340" s="1" t="s">
        <v>583</v>
      </c>
    </row>
    <row r="341" spans="1:7" x14ac:dyDescent="0.3">
      <c r="A341" s="1" t="s">
        <v>362</v>
      </c>
      <c r="B341" s="1" t="s">
        <v>246</v>
      </c>
      <c r="C341" s="1" t="s">
        <v>241</v>
      </c>
      <c r="D341" s="1" t="s">
        <v>377</v>
      </c>
      <c r="E341" s="1">
        <v>59</v>
      </c>
      <c r="F341" s="1">
        <v>461</v>
      </c>
      <c r="G341" s="1" t="s">
        <v>584</v>
      </c>
    </row>
    <row r="342" spans="1:7" x14ac:dyDescent="0.3">
      <c r="A342" s="1" t="s">
        <v>362</v>
      </c>
      <c r="B342" s="1" t="s">
        <v>246</v>
      </c>
      <c r="C342" s="1" t="s">
        <v>186</v>
      </c>
      <c r="D342" s="1" t="s">
        <v>168</v>
      </c>
      <c r="E342" s="1">
        <v>44</v>
      </c>
      <c r="F342" s="1">
        <v>64</v>
      </c>
      <c r="G342" s="1" t="s">
        <v>585</v>
      </c>
    </row>
    <row r="343" spans="1:7" x14ac:dyDescent="0.3">
      <c r="A343" s="1" t="s">
        <v>362</v>
      </c>
      <c r="B343" s="1" t="s">
        <v>246</v>
      </c>
      <c r="C343" s="1" t="s">
        <v>189</v>
      </c>
      <c r="D343" s="1" t="s">
        <v>376</v>
      </c>
      <c r="E343" s="1">
        <v>37</v>
      </c>
      <c r="F343" s="1">
        <v>151</v>
      </c>
      <c r="G343" s="1" t="s">
        <v>586</v>
      </c>
    </row>
    <row r="344" spans="1:7" x14ac:dyDescent="0.3">
      <c r="A344" s="1" t="s">
        <v>362</v>
      </c>
      <c r="B344" s="1" t="s">
        <v>246</v>
      </c>
      <c r="C344" s="1" t="s">
        <v>88</v>
      </c>
      <c r="D344" s="1" t="s">
        <v>378</v>
      </c>
      <c r="E344" s="1">
        <v>20</v>
      </c>
      <c r="F344" s="1">
        <v>144</v>
      </c>
      <c r="G344" s="1" t="s">
        <v>587</v>
      </c>
    </row>
    <row r="345" spans="1:7" x14ac:dyDescent="0.3">
      <c r="A345" s="1" t="s">
        <v>362</v>
      </c>
      <c r="B345" s="1" t="s">
        <v>246</v>
      </c>
      <c r="C345" s="1" t="s">
        <v>119</v>
      </c>
      <c r="D345" s="1" t="s">
        <v>336</v>
      </c>
      <c r="E345" s="1">
        <v>109</v>
      </c>
      <c r="F345" s="1">
        <v>89</v>
      </c>
      <c r="G345" s="1" t="s">
        <v>526</v>
      </c>
    </row>
    <row r="346" spans="1:7" x14ac:dyDescent="0.3">
      <c r="A346" s="1" t="s">
        <v>362</v>
      </c>
      <c r="B346" s="1" t="s">
        <v>246</v>
      </c>
      <c r="C346" s="1" t="s">
        <v>137</v>
      </c>
      <c r="D346" s="1" t="s">
        <v>106</v>
      </c>
      <c r="E346" s="1">
        <v>72</v>
      </c>
      <c r="F346" s="1">
        <v>110</v>
      </c>
      <c r="G346" s="1" t="s">
        <v>588</v>
      </c>
    </row>
    <row r="347" spans="1:7" x14ac:dyDescent="0.3">
      <c r="A347" s="1" t="s">
        <v>362</v>
      </c>
      <c r="B347" s="1" t="s">
        <v>246</v>
      </c>
      <c r="C347" s="1" t="s">
        <v>56</v>
      </c>
      <c r="D347" s="1" t="s">
        <v>144</v>
      </c>
      <c r="E347" s="1">
        <v>143</v>
      </c>
      <c r="F347" s="1">
        <v>62</v>
      </c>
      <c r="G347" s="1" t="s">
        <v>589</v>
      </c>
    </row>
    <row r="348" spans="1:7" x14ac:dyDescent="0.3">
      <c r="A348" s="1" t="s">
        <v>362</v>
      </c>
      <c r="B348" s="1" t="s">
        <v>246</v>
      </c>
      <c r="C348" s="1" t="s">
        <v>127</v>
      </c>
      <c r="D348" s="1" t="s">
        <v>104</v>
      </c>
      <c r="E348" s="1">
        <v>54</v>
      </c>
      <c r="F348" s="1">
        <v>101</v>
      </c>
      <c r="G348" s="1" t="s">
        <v>441</v>
      </c>
    </row>
    <row r="349" spans="1:7" x14ac:dyDescent="0.3">
      <c r="A349" s="1" t="s">
        <v>362</v>
      </c>
      <c r="B349" s="1" t="s">
        <v>246</v>
      </c>
      <c r="C349" s="1" t="s">
        <v>349</v>
      </c>
      <c r="D349" s="1" t="s">
        <v>162</v>
      </c>
      <c r="E349" s="1">
        <v>73</v>
      </c>
      <c r="F349" s="1">
        <v>25</v>
      </c>
      <c r="G349" s="1" t="s">
        <v>590</v>
      </c>
    </row>
    <row r="350" spans="1:7" x14ac:dyDescent="0.3">
      <c r="A350" s="1" t="s">
        <v>362</v>
      </c>
      <c r="B350" s="1" t="s">
        <v>246</v>
      </c>
      <c r="C350" s="1" t="s">
        <v>74</v>
      </c>
      <c r="D350" s="1" t="s">
        <v>136</v>
      </c>
      <c r="E350" s="1">
        <v>61</v>
      </c>
      <c r="F350" s="1">
        <v>12</v>
      </c>
      <c r="G350" s="1" t="s">
        <v>591</v>
      </c>
    </row>
    <row r="351" spans="1:7" x14ac:dyDescent="0.3">
      <c r="A351" s="1" t="s">
        <v>362</v>
      </c>
      <c r="B351" s="1" t="s">
        <v>246</v>
      </c>
      <c r="C351" s="1" t="s">
        <v>128</v>
      </c>
      <c r="D351" s="1" t="s">
        <v>352</v>
      </c>
      <c r="E351" s="1">
        <v>14</v>
      </c>
      <c r="F351" s="1">
        <v>320</v>
      </c>
      <c r="G351" s="1" t="s">
        <v>592</v>
      </c>
    </row>
    <row r="352" spans="1:7" x14ac:dyDescent="0.3">
      <c r="A352" s="1" t="s">
        <v>362</v>
      </c>
      <c r="B352" s="1" t="s">
        <v>246</v>
      </c>
      <c r="C352" s="1" t="s">
        <v>89</v>
      </c>
      <c r="D352" s="1" t="s">
        <v>357</v>
      </c>
      <c r="E352" s="1">
        <v>123</v>
      </c>
      <c r="F352" s="1">
        <v>113</v>
      </c>
      <c r="G352" s="1" t="s">
        <v>593</v>
      </c>
    </row>
    <row r="353" spans="1:7" x14ac:dyDescent="0.3">
      <c r="A353" s="1" t="s">
        <v>362</v>
      </c>
      <c r="B353" s="1" t="s">
        <v>246</v>
      </c>
      <c r="C353" s="1" t="s">
        <v>208</v>
      </c>
      <c r="D353" s="1" t="s">
        <v>207</v>
      </c>
      <c r="E353" s="1">
        <v>125</v>
      </c>
      <c r="F353" s="1">
        <v>28</v>
      </c>
      <c r="G353" s="1" t="s">
        <v>594</v>
      </c>
    </row>
    <row r="354" spans="1:7" x14ac:dyDescent="0.3">
      <c r="A354" s="1" t="s">
        <v>362</v>
      </c>
      <c r="B354" s="1" t="s">
        <v>246</v>
      </c>
      <c r="C354" s="1" t="s">
        <v>195</v>
      </c>
      <c r="D354" s="1" t="s">
        <v>382</v>
      </c>
      <c r="E354" s="1">
        <v>2</v>
      </c>
      <c r="F354" s="1">
        <v>733</v>
      </c>
      <c r="G354" s="1" t="s">
        <v>288</v>
      </c>
    </row>
    <row r="355" spans="1:7" x14ac:dyDescent="0.3">
      <c r="A355" s="1" t="s">
        <v>362</v>
      </c>
      <c r="B355" s="1" t="s">
        <v>279</v>
      </c>
      <c r="C355" s="1" t="s">
        <v>55</v>
      </c>
      <c r="D355" s="1" t="s">
        <v>240</v>
      </c>
      <c r="E355" s="1">
        <v>1</v>
      </c>
      <c r="F355" s="1">
        <v>52</v>
      </c>
      <c r="G355" s="1" t="s">
        <v>595</v>
      </c>
    </row>
    <row r="356" spans="1:7" x14ac:dyDescent="0.3">
      <c r="A356" s="1" t="s">
        <v>362</v>
      </c>
      <c r="B356" s="1" t="s">
        <v>279</v>
      </c>
      <c r="C356" s="1" t="s">
        <v>172</v>
      </c>
      <c r="D356" s="1" t="s">
        <v>342</v>
      </c>
      <c r="E356" s="1">
        <v>21</v>
      </c>
      <c r="F356" s="1">
        <v>165</v>
      </c>
      <c r="G356" s="1" t="s">
        <v>596</v>
      </c>
    </row>
    <row r="357" spans="1:7" x14ac:dyDescent="0.3">
      <c r="A357" s="1" t="s">
        <v>362</v>
      </c>
      <c r="B357" s="1" t="s">
        <v>279</v>
      </c>
      <c r="C357" s="1" t="s">
        <v>115</v>
      </c>
      <c r="D357" s="1" t="s">
        <v>333</v>
      </c>
      <c r="E357" s="1">
        <v>10</v>
      </c>
      <c r="F357" s="1">
        <v>105</v>
      </c>
      <c r="G357" s="1" t="s">
        <v>597</v>
      </c>
    </row>
    <row r="358" spans="1:7" x14ac:dyDescent="0.3">
      <c r="A358" s="1" t="s">
        <v>362</v>
      </c>
      <c r="B358" s="1" t="s">
        <v>279</v>
      </c>
      <c r="C358" s="1" t="s">
        <v>130</v>
      </c>
      <c r="D358" s="1" t="s">
        <v>116</v>
      </c>
      <c r="E358" s="1">
        <v>47</v>
      </c>
      <c r="F358" s="1">
        <v>34</v>
      </c>
      <c r="G358" s="1" t="s">
        <v>598</v>
      </c>
    </row>
    <row r="359" spans="1:7" x14ac:dyDescent="0.3">
      <c r="A359" s="1" t="s">
        <v>362</v>
      </c>
      <c r="B359" s="1" t="s">
        <v>279</v>
      </c>
      <c r="C359" s="1" t="s">
        <v>331</v>
      </c>
      <c r="D359" s="1" t="s">
        <v>199</v>
      </c>
      <c r="E359" s="1">
        <v>83</v>
      </c>
      <c r="F359" s="1">
        <v>55</v>
      </c>
      <c r="G359" s="1" t="s">
        <v>599</v>
      </c>
    </row>
    <row r="360" spans="1:7" x14ac:dyDescent="0.3">
      <c r="A360" s="1" t="s">
        <v>362</v>
      </c>
      <c r="B360" s="1" t="s">
        <v>279</v>
      </c>
      <c r="C360" s="1" t="s">
        <v>65</v>
      </c>
      <c r="D360" s="1" t="s">
        <v>201</v>
      </c>
      <c r="E360" s="1">
        <v>24</v>
      </c>
      <c r="F360" s="1">
        <v>17</v>
      </c>
      <c r="G360" s="1" t="s">
        <v>215</v>
      </c>
    </row>
    <row r="361" spans="1:7" x14ac:dyDescent="0.3">
      <c r="A361" s="1" t="s">
        <v>362</v>
      </c>
      <c r="B361" s="1" t="s">
        <v>279</v>
      </c>
      <c r="C361" s="1" t="s">
        <v>100</v>
      </c>
      <c r="D361" s="1" t="s">
        <v>373</v>
      </c>
      <c r="E361" s="1">
        <v>11</v>
      </c>
      <c r="F361" s="1">
        <v>192</v>
      </c>
      <c r="G361" s="1" t="s">
        <v>600</v>
      </c>
    </row>
    <row r="362" spans="1:7" x14ac:dyDescent="0.3">
      <c r="A362" s="1" t="s">
        <v>362</v>
      </c>
      <c r="B362" s="1" t="s">
        <v>279</v>
      </c>
      <c r="C362" s="1" t="s">
        <v>150</v>
      </c>
      <c r="D362" s="1" t="s">
        <v>70</v>
      </c>
      <c r="E362" s="1">
        <v>6</v>
      </c>
      <c r="F362" s="1">
        <v>49</v>
      </c>
      <c r="G362" s="1" t="s">
        <v>427</v>
      </c>
    </row>
    <row r="363" spans="1:7" x14ac:dyDescent="0.3">
      <c r="A363" s="1" t="s">
        <v>362</v>
      </c>
      <c r="B363" s="1" t="s">
        <v>279</v>
      </c>
      <c r="C363" s="1" t="s">
        <v>103</v>
      </c>
      <c r="D363" s="1" t="s">
        <v>204</v>
      </c>
      <c r="E363" s="1">
        <v>5</v>
      </c>
      <c r="F363" s="1">
        <v>27</v>
      </c>
      <c r="G363" s="1" t="s">
        <v>601</v>
      </c>
    </row>
    <row r="364" spans="1:7" x14ac:dyDescent="0.3">
      <c r="A364" s="1" t="s">
        <v>362</v>
      </c>
      <c r="B364" s="1" t="s">
        <v>279</v>
      </c>
      <c r="C364" s="1" t="s">
        <v>186</v>
      </c>
      <c r="D364" s="1" t="s">
        <v>241</v>
      </c>
      <c r="E364" s="1">
        <v>44</v>
      </c>
      <c r="F364" s="1">
        <v>59</v>
      </c>
      <c r="G364" s="1" t="s">
        <v>602</v>
      </c>
    </row>
    <row r="365" spans="1:7" x14ac:dyDescent="0.3">
      <c r="A365" s="1" t="s">
        <v>362</v>
      </c>
      <c r="B365" s="1" t="s">
        <v>279</v>
      </c>
      <c r="C365" s="1" t="s">
        <v>88</v>
      </c>
      <c r="D365" s="1" t="s">
        <v>189</v>
      </c>
      <c r="E365" s="1">
        <v>20</v>
      </c>
      <c r="F365" s="1">
        <v>37</v>
      </c>
      <c r="G365" s="1" t="s">
        <v>603</v>
      </c>
    </row>
    <row r="366" spans="1:7" x14ac:dyDescent="0.3">
      <c r="A366" s="1" t="s">
        <v>362</v>
      </c>
      <c r="B366" s="1" t="s">
        <v>279</v>
      </c>
      <c r="C366" s="1" t="s">
        <v>119</v>
      </c>
      <c r="D366" s="1" t="s">
        <v>137</v>
      </c>
      <c r="E366" s="1">
        <v>109</v>
      </c>
      <c r="F366" s="1">
        <v>72</v>
      </c>
      <c r="G366" s="1" t="s">
        <v>604</v>
      </c>
    </row>
    <row r="367" spans="1:7" x14ac:dyDescent="0.3">
      <c r="A367" s="1" t="s">
        <v>362</v>
      </c>
      <c r="B367" s="1" t="s">
        <v>279</v>
      </c>
      <c r="C367" s="1" t="s">
        <v>56</v>
      </c>
      <c r="D367" s="1" t="s">
        <v>127</v>
      </c>
      <c r="E367" s="1">
        <v>143</v>
      </c>
      <c r="F367" s="1">
        <v>54</v>
      </c>
      <c r="G367" s="1" t="s">
        <v>605</v>
      </c>
    </row>
    <row r="368" spans="1:7" x14ac:dyDescent="0.3">
      <c r="A368" s="1" t="s">
        <v>362</v>
      </c>
      <c r="B368" s="1" t="s">
        <v>279</v>
      </c>
      <c r="C368" s="1" t="s">
        <v>74</v>
      </c>
      <c r="D368" s="1" t="s">
        <v>349</v>
      </c>
      <c r="E368" s="1">
        <v>61</v>
      </c>
      <c r="F368" s="1">
        <v>73</v>
      </c>
      <c r="G368" s="1" t="s">
        <v>606</v>
      </c>
    </row>
    <row r="369" spans="1:7" x14ac:dyDescent="0.3">
      <c r="A369" s="1" t="s">
        <v>362</v>
      </c>
      <c r="B369" s="1" t="s">
        <v>279</v>
      </c>
      <c r="C369" s="1" t="s">
        <v>128</v>
      </c>
      <c r="D369" s="1" t="s">
        <v>89</v>
      </c>
      <c r="E369" s="1">
        <v>14</v>
      </c>
      <c r="F369" s="1">
        <v>123</v>
      </c>
      <c r="G369" s="1" t="s">
        <v>607</v>
      </c>
    </row>
    <row r="370" spans="1:7" x14ac:dyDescent="0.3">
      <c r="A370" s="1" t="s">
        <v>362</v>
      </c>
      <c r="B370" s="1" t="s">
        <v>279</v>
      </c>
      <c r="C370" s="1" t="s">
        <v>195</v>
      </c>
      <c r="D370" s="1" t="s">
        <v>208</v>
      </c>
      <c r="E370" s="1">
        <v>2</v>
      </c>
      <c r="F370" s="1">
        <v>125</v>
      </c>
      <c r="G370" s="1" t="s">
        <v>608</v>
      </c>
    </row>
    <row r="371" spans="1:7" x14ac:dyDescent="0.3">
      <c r="A371" s="1" t="s">
        <v>362</v>
      </c>
      <c r="B371" s="1" t="s">
        <v>295</v>
      </c>
      <c r="C371" s="1" t="s">
        <v>55</v>
      </c>
      <c r="D371" s="1" t="s">
        <v>172</v>
      </c>
      <c r="E371" s="1">
        <v>1</v>
      </c>
      <c r="F371" s="1">
        <v>21</v>
      </c>
      <c r="G371" s="1" t="s">
        <v>609</v>
      </c>
    </row>
    <row r="372" spans="1:7" x14ac:dyDescent="0.3">
      <c r="A372" s="1" t="s">
        <v>362</v>
      </c>
      <c r="B372" s="1" t="s">
        <v>295</v>
      </c>
      <c r="C372" s="1" t="s">
        <v>115</v>
      </c>
      <c r="D372" s="1" t="s">
        <v>130</v>
      </c>
      <c r="E372" s="1">
        <v>10</v>
      </c>
      <c r="F372" s="1">
        <v>47</v>
      </c>
      <c r="G372" s="1" t="s">
        <v>610</v>
      </c>
    </row>
    <row r="373" spans="1:7" x14ac:dyDescent="0.3">
      <c r="A373" s="1" t="s">
        <v>362</v>
      </c>
      <c r="B373" s="1" t="s">
        <v>295</v>
      </c>
      <c r="C373" s="1" t="s">
        <v>65</v>
      </c>
      <c r="D373" s="1" t="s">
        <v>331</v>
      </c>
      <c r="E373" s="1">
        <v>24</v>
      </c>
      <c r="F373" s="1">
        <v>83</v>
      </c>
      <c r="G373" s="1" t="s">
        <v>611</v>
      </c>
    </row>
    <row r="374" spans="1:7" x14ac:dyDescent="0.3">
      <c r="A374" s="1" t="s">
        <v>362</v>
      </c>
      <c r="B374" s="1" t="s">
        <v>295</v>
      </c>
      <c r="C374" s="1" t="s">
        <v>150</v>
      </c>
      <c r="D374" s="1" t="s">
        <v>100</v>
      </c>
      <c r="E374" s="1">
        <v>6</v>
      </c>
      <c r="F374" s="1">
        <v>11</v>
      </c>
      <c r="G374" s="1" t="s">
        <v>612</v>
      </c>
    </row>
    <row r="375" spans="1:7" x14ac:dyDescent="0.3">
      <c r="A375" s="1" t="s">
        <v>362</v>
      </c>
      <c r="B375" s="1" t="s">
        <v>295</v>
      </c>
      <c r="C375" s="1" t="s">
        <v>103</v>
      </c>
      <c r="D375" s="1" t="s">
        <v>186</v>
      </c>
      <c r="E375" s="1">
        <v>5</v>
      </c>
      <c r="F375" s="1">
        <v>44</v>
      </c>
      <c r="G375" s="1" t="s">
        <v>613</v>
      </c>
    </row>
    <row r="376" spans="1:7" x14ac:dyDescent="0.3">
      <c r="A376" s="1" t="s">
        <v>362</v>
      </c>
      <c r="B376" s="1" t="s">
        <v>295</v>
      </c>
      <c r="C376" s="1" t="s">
        <v>88</v>
      </c>
      <c r="D376" s="1" t="s">
        <v>119</v>
      </c>
      <c r="E376" s="1">
        <v>20</v>
      </c>
      <c r="F376" s="1">
        <v>109</v>
      </c>
      <c r="G376" s="1" t="s">
        <v>614</v>
      </c>
    </row>
    <row r="377" spans="1:7" x14ac:dyDescent="0.3">
      <c r="A377" s="1" t="s">
        <v>362</v>
      </c>
      <c r="B377" s="1" t="s">
        <v>295</v>
      </c>
      <c r="C377" s="1" t="s">
        <v>74</v>
      </c>
      <c r="D377" s="1" t="s">
        <v>56</v>
      </c>
      <c r="E377" s="1">
        <v>61</v>
      </c>
      <c r="F377" s="1">
        <v>143</v>
      </c>
      <c r="G377" s="1" t="s">
        <v>615</v>
      </c>
    </row>
    <row r="378" spans="1:7" x14ac:dyDescent="0.3">
      <c r="A378" s="1" t="s">
        <v>362</v>
      </c>
      <c r="B378" s="1" t="s">
        <v>295</v>
      </c>
      <c r="C378" s="1" t="s">
        <v>195</v>
      </c>
      <c r="D378" s="1" t="s">
        <v>128</v>
      </c>
      <c r="E378" s="1">
        <v>2</v>
      </c>
      <c r="F378" s="1">
        <v>14</v>
      </c>
      <c r="G378" s="1" t="s">
        <v>616</v>
      </c>
    </row>
    <row r="379" spans="1:7" x14ac:dyDescent="0.3">
      <c r="A379" s="1" t="s">
        <v>362</v>
      </c>
      <c r="B379" s="1" t="s">
        <v>304</v>
      </c>
      <c r="C379" s="1" t="s">
        <v>55</v>
      </c>
      <c r="D379" s="1" t="s">
        <v>115</v>
      </c>
      <c r="E379" s="1">
        <v>1</v>
      </c>
      <c r="F379" s="1">
        <v>10</v>
      </c>
      <c r="G379" s="1" t="s">
        <v>617</v>
      </c>
    </row>
    <row r="380" spans="1:7" x14ac:dyDescent="0.3">
      <c r="A380" s="1" t="s">
        <v>362</v>
      </c>
      <c r="B380" s="1" t="s">
        <v>304</v>
      </c>
      <c r="C380" s="1" t="s">
        <v>150</v>
      </c>
      <c r="D380" s="1" t="s">
        <v>65</v>
      </c>
      <c r="E380" s="1">
        <v>6</v>
      </c>
      <c r="F380" s="1">
        <v>24</v>
      </c>
      <c r="G380" s="1" t="s">
        <v>618</v>
      </c>
    </row>
    <row r="381" spans="1:7" x14ac:dyDescent="0.3">
      <c r="A381" s="1" t="s">
        <v>362</v>
      </c>
      <c r="B381" s="1" t="s">
        <v>304</v>
      </c>
      <c r="C381" s="1" t="s">
        <v>103</v>
      </c>
      <c r="D381" s="1" t="s">
        <v>88</v>
      </c>
      <c r="E381" s="1">
        <v>5</v>
      </c>
      <c r="F381" s="1">
        <v>20</v>
      </c>
      <c r="G381" s="1" t="s">
        <v>619</v>
      </c>
    </row>
    <row r="382" spans="1:7" x14ac:dyDescent="0.3">
      <c r="A382" s="1" t="s">
        <v>362</v>
      </c>
      <c r="B382" s="1" t="s">
        <v>304</v>
      </c>
      <c r="C382" s="1" t="s">
        <v>195</v>
      </c>
      <c r="D382" s="1" t="s">
        <v>74</v>
      </c>
      <c r="E382" s="1">
        <v>2</v>
      </c>
      <c r="F382" s="1">
        <v>61</v>
      </c>
      <c r="G382" s="1" t="s">
        <v>289</v>
      </c>
    </row>
    <row r="383" spans="1:7" x14ac:dyDescent="0.3">
      <c r="A383" s="1" t="s">
        <v>362</v>
      </c>
      <c r="B383" s="1" t="s">
        <v>309</v>
      </c>
      <c r="C383" s="1" t="s">
        <v>55</v>
      </c>
      <c r="D383" s="1" t="s">
        <v>150</v>
      </c>
      <c r="E383" s="1">
        <v>1</v>
      </c>
      <c r="F383" s="1">
        <v>6</v>
      </c>
      <c r="G383" s="1" t="s">
        <v>420</v>
      </c>
    </row>
    <row r="384" spans="1:7" x14ac:dyDescent="0.3">
      <c r="A384" s="1" t="s">
        <v>362</v>
      </c>
      <c r="B384" s="1" t="s">
        <v>309</v>
      </c>
      <c r="C384" s="1" t="s">
        <v>195</v>
      </c>
      <c r="D384" s="1" t="s">
        <v>103</v>
      </c>
      <c r="E384" s="1">
        <v>2</v>
      </c>
      <c r="F384" s="1">
        <v>5</v>
      </c>
      <c r="G384" s="1" t="s">
        <v>620</v>
      </c>
    </row>
    <row r="385" spans="1:7" x14ac:dyDescent="0.3">
      <c r="A385" s="1" t="s">
        <v>362</v>
      </c>
      <c r="B385" s="1" t="s">
        <v>312</v>
      </c>
      <c r="C385" s="1" t="s">
        <v>55</v>
      </c>
      <c r="D385" s="1" t="s">
        <v>195</v>
      </c>
      <c r="E385" s="1">
        <v>1</v>
      </c>
      <c r="F385" s="1">
        <v>2</v>
      </c>
      <c r="G385" s="1" t="s">
        <v>621</v>
      </c>
    </row>
    <row r="386" spans="1:7" x14ac:dyDescent="0.3">
      <c r="A386" s="1" t="s">
        <v>28</v>
      </c>
      <c r="B386" s="1" t="s">
        <v>54</v>
      </c>
      <c r="C386" s="1" t="s">
        <v>55</v>
      </c>
      <c r="D386" s="1" t="s">
        <v>343</v>
      </c>
      <c r="E386" s="1">
        <v>1</v>
      </c>
      <c r="F386" s="1">
        <v>89</v>
      </c>
      <c r="G386" s="1" t="s">
        <v>622</v>
      </c>
    </row>
    <row r="387" spans="1:7" x14ac:dyDescent="0.3">
      <c r="A387" s="1" t="s">
        <v>28</v>
      </c>
      <c r="B387" s="1" t="s">
        <v>54</v>
      </c>
      <c r="C387" s="1" t="s">
        <v>140</v>
      </c>
      <c r="D387" s="1" t="s">
        <v>385</v>
      </c>
      <c r="E387" s="1">
        <v>36</v>
      </c>
      <c r="F387" s="1">
        <v>752</v>
      </c>
      <c r="G387" s="1" t="s">
        <v>623</v>
      </c>
    </row>
    <row r="388" spans="1:7" x14ac:dyDescent="0.3">
      <c r="A388" s="1" t="s">
        <v>28</v>
      </c>
      <c r="B388" s="1" t="s">
        <v>54</v>
      </c>
      <c r="C388" s="1" t="s">
        <v>357</v>
      </c>
      <c r="D388" s="1" t="s">
        <v>226</v>
      </c>
      <c r="E388" s="1">
        <v>98</v>
      </c>
      <c r="F388" s="1">
        <v>74</v>
      </c>
      <c r="G388" s="1" t="s">
        <v>624</v>
      </c>
    </row>
    <row r="389" spans="1:7" x14ac:dyDescent="0.3">
      <c r="A389" s="1" t="s">
        <v>28</v>
      </c>
      <c r="B389" s="1" t="s">
        <v>54</v>
      </c>
      <c r="C389" s="1" t="s">
        <v>121</v>
      </c>
      <c r="D389" s="1" t="s">
        <v>333</v>
      </c>
      <c r="E389" s="1">
        <v>29</v>
      </c>
      <c r="F389" s="1">
        <v>63</v>
      </c>
      <c r="G389" s="1" t="s">
        <v>625</v>
      </c>
    </row>
    <row r="390" spans="1:7" x14ac:dyDescent="0.3">
      <c r="A390" s="1" t="s">
        <v>28</v>
      </c>
      <c r="B390" s="1" t="s">
        <v>54</v>
      </c>
      <c r="C390" s="1" t="s">
        <v>92</v>
      </c>
      <c r="D390" s="1" t="s">
        <v>331</v>
      </c>
      <c r="E390" s="1">
        <v>24</v>
      </c>
      <c r="F390" s="1">
        <v>62</v>
      </c>
      <c r="G390" s="1" t="s">
        <v>626</v>
      </c>
    </row>
    <row r="391" spans="1:7" x14ac:dyDescent="0.3">
      <c r="A391" s="1" t="s">
        <v>28</v>
      </c>
      <c r="B391" s="1" t="s">
        <v>54</v>
      </c>
      <c r="C391" s="1" t="s">
        <v>58</v>
      </c>
      <c r="D391" s="1" t="s">
        <v>130</v>
      </c>
      <c r="E391" s="1">
        <v>96</v>
      </c>
      <c r="F391" s="1">
        <v>46</v>
      </c>
      <c r="G391" s="1" t="s">
        <v>627</v>
      </c>
    </row>
    <row r="392" spans="1:7" x14ac:dyDescent="0.3">
      <c r="A392" s="1" t="s">
        <v>28</v>
      </c>
      <c r="B392" s="1" t="s">
        <v>54</v>
      </c>
      <c r="C392" s="1" t="s">
        <v>189</v>
      </c>
      <c r="D392" s="1" t="s">
        <v>375</v>
      </c>
      <c r="E392" s="1">
        <v>41</v>
      </c>
      <c r="F392" s="1">
        <v>110</v>
      </c>
      <c r="G392" s="1" t="s">
        <v>614</v>
      </c>
    </row>
    <row r="393" spans="1:7" x14ac:dyDescent="0.3">
      <c r="A393" s="1" t="s">
        <v>28</v>
      </c>
      <c r="B393" s="1" t="s">
        <v>54</v>
      </c>
      <c r="C393" s="1" t="s">
        <v>219</v>
      </c>
      <c r="D393" s="1" t="s">
        <v>351</v>
      </c>
      <c r="E393" s="1">
        <v>14</v>
      </c>
      <c r="F393" s="1">
        <v>109</v>
      </c>
      <c r="G393" s="1" t="s">
        <v>628</v>
      </c>
    </row>
    <row r="394" spans="1:7" x14ac:dyDescent="0.3">
      <c r="A394" s="1" t="s">
        <v>28</v>
      </c>
      <c r="B394" s="1" t="s">
        <v>54</v>
      </c>
      <c r="C394" s="1" t="s">
        <v>124</v>
      </c>
      <c r="D394" s="1" t="s">
        <v>113</v>
      </c>
      <c r="E394" s="1">
        <v>10</v>
      </c>
      <c r="F394" s="1">
        <v>37</v>
      </c>
      <c r="G394" s="1" t="s">
        <v>629</v>
      </c>
    </row>
    <row r="395" spans="1:7" x14ac:dyDescent="0.3">
      <c r="A395" s="1" t="s">
        <v>28</v>
      </c>
      <c r="B395" s="1" t="s">
        <v>54</v>
      </c>
      <c r="C395" s="1" t="s">
        <v>169</v>
      </c>
      <c r="D395" s="1" t="s">
        <v>228</v>
      </c>
      <c r="E395" s="1">
        <v>80</v>
      </c>
      <c r="F395" s="1">
        <v>70</v>
      </c>
      <c r="G395" s="1" t="s">
        <v>630</v>
      </c>
    </row>
    <row r="396" spans="1:7" x14ac:dyDescent="0.3">
      <c r="A396" s="1" t="s">
        <v>28</v>
      </c>
      <c r="B396" s="1" t="s">
        <v>54</v>
      </c>
      <c r="C396" s="1" t="s">
        <v>104</v>
      </c>
      <c r="D396" s="1" t="s">
        <v>180</v>
      </c>
      <c r="E396" s="1">
        <v>92</v>
      </c>
      <c r="F396" s="1">
        <v>95</v>
      </c>
      <c r="G396" s="1" t="s">
        <v>631</v>
      </c>
    </row>
    <row r="397" spans="1:7" x14ac:dyDescent="0.3">
      <c r="A397" s="1" t="s">
        <v>28</v>
      </c>
      <c r="B397" s="1" t="s">
        <v>54</v>
      </c>
      <c r="C397" s="1" t="s">
        <v>65</v>
      </c>
      <c r="D397" s="1" t="s">
        <v>171</v>
      </c>
      <c r="E397" s="1">
        <v>26</v>
      </c>
      <c r="F397" s="1">
        <v>120</v>
      </c>
      <c r="G397" s="1" t="s">
        <v>632</v>
      </c>
    </row>
    <row r="398" spans="1:7" x14ac:dyDescent="0.3">
      <c r="A398" s="1" t="s">
        <v>28</v>
      </c>
      <c r="B398" s="1" t="s">
        <v>54</v>
      </c>
      <c r="C398" s="1" t="s">
        <v>85</v>
      </c>
      <c r="D398" s="1" t="s">
        <v>181</v>
      </c>
      <c r="E398" s="1">
        <v>33</v>
      </c>
      <c r="F398" s="1">
        <v>61</v>
      </c>
      <c r="G398" s="1" t="s">
        <v>633</v>
      </c>
    </row>
    <row r="399" spans="1:7" x14ac:dyDescent="0.3">
      <c r="A399" s="1" t="s">
        <v>28</v>
      </c>
      <c r="B399" s="1" t="s">
        <v>54</v>
      </c>
      <c r="C399" s="1" t="s">
        <v>199</v>
      </c>
      <c r="D399" s="1" t="s">
        <v>153</v>
      </c>
      <c r="E399" s="1">
        <v>44</v>
      </c>
      <c r="F399" s="1">
        <v>117</v>
      </c>
      <c r="G399" s="1" t="s">
        <v>634</v>
      </c>
    </row>
    <row r="400" spans="1:7" x14ac:dyDescent="0.3">
      <c r="A400" s="1" t="s">
        <v>28</v>
      </c>
      <c r="B400" s="1" t="s">
        <v>54</v>
      </c>
      <c r="C400" s="1" t="s">
        <v>95</v>
      </c>
      <c r="D400" s="1" t="s">
        <v>363</v>
      </c>
      <c r="E400" s="1">
        <v>48</v>
      </c>
      <c r="F400" s="1">
        <v>118</v>
      </c>
      <c r="G400" s="1" t="s">
        <v>525</v>
      </c>
    </row>
    <row r="401" spans="1:7" x14ac:dyDescent="0.3">
      <c r="A401" s="1" t="s">
        <v>28</v>
      </c>
      <c r="B401" s="1" t="s">
        <v>54</v>
      </c>
      <c r="C401" s="1" t="s">
        <v>174</v>
      </c>
      <c r="D401" s="1" t="s">
        <v>346</v>
      </c>
      <c r="E401" s="1">
        <v>5</v>
      </c>
      <c r="F401" s="1">
        <v>203</v>
      </c>
      <c r="G401" s="1" t="s">
        <v>635</v>
      </c>
    </row>
    <row r="402" spans="1:7" x14ac:dyDescent="0.3">
      <c r="A402" s="1" t="s">
        <v>28</v>
      </c>
      <c r="B402" s="1" t="s">
        <v>54</v>
      </c>
      <c r="C402" s="1" t="s">
        <v>243</v>
      </c>
      <c r="D402" s="1" t="s">
        <v>211</v>
      </c>
      <c r="E402" s="1">
        <v>3</v>
      </c>
      <c r="F402" s="1">
        <v>122</v>
      </c>
      <c r="G402" s="1" t="s">
        <v>636</v>
      </c>
    </row>
    <row r="403" spans="1:7" x14ac:dyDescent="0.3">
      <c r="A403" s="1" t="s">
        <v>28</v>
      </c>
      <c r="B403" s="1" t="s">
        <v>54</v>
      </c>
      <c r="C403" s="1" t="s">
        <v>237</v>
      </c>
      <c r="D403" s="1" t="s">
        <v>122</v>
      </c>
      <c r="E403" s="1">
        <v>60</v>
      </c>
      <c r="F403" s="1">
        <v>47</v>
      </c>
      <c r="G403" s="1" t="s">
        <v>637</v>
      </c>
    </row>
    <row r="404" spans="1:7" x14ac:dyDescent="0.3">
      <c r="A404" s="1" t="s">
        <v>28</v>
      </c>
      <c r="B404" s="1" t="s">
        <v>54</v>
      </c>
      <c r="C404" s="1" t="s">
        <v>178</v>
      </c>
      <c r="D404" s="1" t="s">
        <v>112</v>
      </c>
      <c r="E404" s="1">
        <v>94</v>
      </c>
      <c r="F404" s="1">
        <v>49</v>
      </c>
      <c r="G404" s="1" t="s">
        <v>638</v>
      </c>
    </row>
    <row r="405" spans="1:7" x14ac:dyDescent="0.3">
      <c r="A405" s="1" t="s">
        <v>28</v>
      </c>
      <c r="B405" s="1" t="s">
        <v>54</v>
      </c>
      <c r="C405" s="1" t="s">
        <v>207</v>
      </c>
      <c r="D405" s="1" t="s">
        <v>376</v>
      </c>
      <c r="E405" s="1">
        <v>27</v>
      </c>
      <c r="F405" s="1">
        <v>151</v>
      </c>
      <c r="G405" s="1" t="s">
        <v>639</v>
      </c>
    </row>
    <row r="406" spans="1:7" x14ac:dyDescent="0.3">
      <c r="A406" s="1" t="s">
        <v>28</v>
      </c>
      <c r="B406" s="1" t="s">
        <v>54</v>
      </c>
      <c r="C406" s="1" t="s">
        <v>229</v>
      </c>
      <c r="D406" s="1" t="s">
        <v>222</v>
      </c>
      <c r="E406" s="1">
        <v>85</v>
      </c>
      <c r="F406" s="1">
        <v>23</v>
      </c>
      <c r="G406" s="1" t="s">
        <v>640</v>
      </c>
    </row>
    <row r="407" spans="1:7" x14ac:dyDescent="0.3">
      <c r="A407" s="1" t="s">
        <v>28</v>
      </c>
      <c r="B407" s="1" t="s">
        <v>54</v>
      </c>
      <c r="C407" s="1" t="s">
        <v>386</v>
      </c>
      <c r="D407" s="1" t="s">
        <v>360</v>
      </c>
      <c r="E407" s="1">
        <v>173</v>
      </c>
      <c r="F407" s="1">
        <v>71</v>
      </c>
      <c r="G407" s="1" t="s">
        <v>641</v>
      </c>
    </row>
    <row r="408" spans="1:7" x14ac:dyDescent="0.3">
      <c r="A408" s="1" t="s">
        <v>28</v>
      </c>
      <c r="B408" s="1" t="s">
        <v>54</v>
      </c>
      <c r="C408" s="1" t="s">
        <v>97</v>
      </c>
      <c r="D408" s="1" t="s">
        <v>213</v>
      </c>
      <c r="E408" s="1">
        <v>113</v>
      </c>
      <c r="F408" s="1">
        <v>106</v>
      </c>
      <c r="G408" s="1" t="s">
        <v>642</v>
      </c>
    </row>
    <row r="409" spans="1:7" x14ac:dyDescent="0.3">
      <c r="A409" s="1" t="s">
        <v>28</v>
      </c>
      <c r="B409" s="1" t="s">
        <v>54</v>
      </c>
      <c r="C409" s="1" t="s">
        <v>128</v>
      </c>
      <c r="D409" s="1" t="s">
        <v>387</v>
      </c>
      <c r="E409" s="1">
        <v>15</v>
      </c>
      <c r="F409" s="1">
        <v>124</v>
      </c>
      <c r="G409" s="1" t="s">
        <v>245</v>
      </c>
    </row>
    <row r="410" spans="1:7" x14ac:dyDescent="0.3">
      <c r="A410" s="1" t="s">
        <v>28</v>
      </c>
      <c r="B410" s="1" t="s">
        <v>54</v>
      </c>
      <c r="C410" s="1" t="s">
        <v>88</v>
      </c>
      <c r="D410" s="1" t="s">
        <v>151</v>
      </c>
      <c r="E410" s="1">
        <v>9</v>
      </c>
      <c r="F410" s="1">
        <v>104</v>
      </c>
      <c r="G410" s="1" t="s">
        <v>643</v>
      </c>
    </row>
    <row r="411" spans="1:7" x14ac:dyDescent="0.3">
      <c r="A411" s="1" t="s">
        <v>28</v>
      </c>
      <c r="B411" s="1" t="s">
        <v>54</v>
      </c>
      <c r="C411" s="1" t="s">
        <v>119</v>
      </c>
      <c r="D411" s="1" t="s">
        <v>341</v>
      </c>
      <c r="E411" s="1">
        <v>76</v>
      </c>
      <c r="F411" s="1">
        <v>121</v>
      </c>
      <c r="G411" s="1" t="s">
        <v>644</v>
      </c>
    </row>
    <row r="412" spans="1:7" x14ac:dyDescent="0.3">
      <c r="A412" s="1" t="s">
        <v>28</v>
      </c>
      <c r="B412" s="1" t="s">
        <v>54</v>
      </c>
      <c r="C412" s="1" t="s">
        <v>383</v>
      </c>
      <c r="D412" s="1" t="s">
        <v>240</v>
      </c>
      <c r="E412" s="1">
        <v>435</v>
      </c>
      <c r="F412" s="1">
        <v>66</v>
      </c>
      <c r="G412" s="1" t="s">
        <v>614</v>
      </c>
    </row>
    <row r="413" spans="1:7" x14ac:dyDescent="0.3">
      <c r="A413" s="1" t="s">
        <v>28</v>
      </c>
      <c r="B413" s="1" t="s">
        <v>54</v>
      </c>
      <c r="C413" s="1" t="s">
        <v>91</v>
      </c>
      <c r="D413" s="1" t="s">
        <v>125</v>
      </c>
      <c r="E413" s="1">
        <v>19</v>
      </c>
      <c r="F413" s="1">
        <v>64</v>
      </c>
      <c r="G413" s="1" t="s">
        <v>645</v>
      </c>
    </row>
    <row r="414" spans="1:7" x14ac:dyDescent="0.3">
      <c r="A414" s="1" t="s">
        <v>28</v>
      </c>
      <c r="B414" s="1" t="s">
        <v>54</v>
      </c>
      <c r="C414" s="1" t="s">
        <v>80</v>
      </c>
      <c r="D414" s="1" t="s">
        <v>190</v>
      </c>
      <c r="E414" s="1">
        <v>28</v>
      </c>
      <c r="F414" s="1">
        <v>38</v>
      </c>
      <c r="G414" s="1" t="s">
        <v>646</v>
      </c>
    </row>
    <row r="415" spans="1:7" x14ac:dyDescent="0.3">
      <c r="A415" s="1" t="s">
        <v>28</v>
      </c>
      <c r="B415" s="1" t="s">
        <v>54</v>
      </c>
      <c r="C415" s="1" t="s">
        <v>109</v>
      </c>
      <c r="D415" s="1" t="s">
        <v>334</v>
      </c>
      <c r="E415" s="1">
        <v>56</v>
      </c>
      <c r="F415" s="1">
        <v>57</v>
      </c>
      <c r="G415" s="1" t="s">
        <v>647</v>
      </c>
    </row>
    <row r="416" spans="1:7" x14ac:dyDescent="0.3">
      <c r="A416" s="1" t="s">
        <v>28</v>
      </c>
      <c r="B416" s="1" t="s">
        <v>54</v>
      </c>
      <c r="C416" s="1" t="s">
        <v>378</v>
      </c>
      <c r="D416" s="1" t="s">
        <v>165</v>
      </c>
      <c r="E416" s="1">
        <v>112</v>
      </c>
      <c r="F416" s="1">
        <v>125</v>
      </c>
      <c r="G416" s="1" t="s">
        <v>84</v>
      </c>
    </row>
    <row r="417" spans="1:7" x14ac:dyDescent="0.3">
      <c r="A417" s="1" t="s">
        <v>28</v>
      </c>
      <c r="B417" s="1" t="s">
        <v>54</v>
      </c>
      <c r="C417" s="1" t="s">
        <v>100</v>
      </c>
      <c r="D417" s="1" t="s">
        <v>220</v>
      </c>
      <c r="E417" s="1">
        <v>8</v>
      </c>
      <c r="F417" s="1">
        <v>81</v>
      </c>
      <c r="G417" s="1" t="s">
        <v>275</v>
      </c>
    </row>
    <row r="418" spans="1:7" x14ac:dyDescent="0.3">
      <c r="A418" s="1" t="s">
        <v>28</v>
      </c>
      <c r="B418" s="1" t="s">
        <v>54</v>
      </c>
      <c r="C418" s="1" t="s">
        <v>150</v>
      </c>
      <c r="D418" s="1" t="s">
        <v>144</v>
      </c>
      <c r="E418" s="1">
        <v>7</v>
      </c>
      <c r="F418" s="1">
        <v>50</v>
      </c>
      <c r="G418" s="1" t="s">
        <v>648</v>
      </c>
    </row>
    <row r="419" spans="1:7" x14ac:dyDescent="0.3">
      <c r="A419" s="1" t="s">
        <v>28</v>
      </c>
      <c r="B419" s="1" t="s">
        <v>54</v>
      </c>
      <c r="C419" s="1" t="s">
        <v>388</v>
      </c>
      <c r="D419" s="1" t="s">
        <v>389</v>
      </c>
      <c r="E419" s="1">
        <v>145</v>
      </c>
      <c r="F419" s="1">
        <v>156</v>
      </c>
      <c r="G419" s="1" t="s">
        <v>273</v>
      </c>
    </row>
    <row r="420" spans="1:7" x14ac:dyDescent="0.3">
      <c r="A420" s="1" t="s">
        <v>28</v>
      </c>
      <c r="B420" s="1" t="s">
        <v>54</v>
      </c>
      <c r="C420" s="1" t="s">
        <v>74</v>
      </c>
      <c r="D420" s="1" t="s">
        <v>183</v>
      </c>
      <c r="E420" s="1">
        <v>35</v>
      </c>
      <c r="F420" s="1">
        <v>75</v>
      </c>
      <c r="G420" s="1" t="s">
        <v>649</v>
      </c>
    </row>
    <row r="421" spans="1:7" x14ac:dyDescent="0.3">
      <c r="A421" s="1" t="s">
        <v>28</v>
      </c>
      <c r="B421" s="1" t="s">
        <v>54</v>
      </c>
      <c r="C421" s="1" t="s">
        <v>110</v>
      </c>
      <c r="D421" s="1" t="s">
        <v>79</v>
      </c>
      <c r="E421" s="1">
        <v>54</v>
      </c>
      <c r="F421" s="1">
        <v>32</v>
      </c>
      <c r="G421" s="1" t="s">
        <v>650</v>
      </c>
    </row>
    <row r="422" spans="1:7" x14ac:dyDescent="0.3">
      <c r="A422" s="1" t="s">
        <v>28</v>
      </c>
      <c r="B422" s="1" t="s">
        <v>54</v>
      </c>
      <c r="C422" s="1" t="s">
        <v>136</v>
      </c>
      <c r="D422" s="1" t="s">
        <v>192</v>
      </c>
      <c r="E422" s="1">
        <v>17</v>
      </c>
      <c r="F422" s="1">
        <v>149</v>
      </c>
      <c r="G422" s="1" t="s">
        <v>502</v>
      </c>
    </row>
    <row r="423" spans="1:7" x14ac:dyDescent="0.3">
      <c r="A423" s="1" t="s">
        <v>28</v>
      </c>
      <c r="B423" s="1" t="s">
        <v>54</v>
      </c>
      <c r="C423" s="1" t="s">
        <v>384</v>
      </c>
      <c r="D423" s="1" t="s">
        <v>390</v>
      </c>
      <c r="E423" s="1">
        <v>431</v>
      </c>
      <c r="F423" s="1">
        <v>364</v>
      </c>
      <c r="G423" s="1" t="s">
        <v>275</v>
      </c>
    </row>
    <row r="424" spans="1:7" x14ac:dyDescent="0.3">
      <c r="A424" s="1" t="s">
        <v>28</v>
      </c>
      <c r="B424" s="1" t="s">
        <v>54</v>
      </c>
      <c r="C424" s="1" t="s">
        <v>208</v>
      </c>
      <c r="D424" s="1" t="s">
        <v>348</v>
      </c>
      <c r="E424" s="1">
        <v>144</v>
      </c>
      <c r="F424" s="1">
        <v>100</v>
      </c>
      <c r="G424" s="1" t="s">
        <v>651</v>
      </c>
    </row>
    <row r="425" spans="1:7" x14ac:dyDescent="0.3">
      <c r="A425" s="1" t="s">
        <v>28</v>
      </c>
      <c r="B425" s="1" t="s">
        <v>54</v>
      </c>
      <c r="C425" s="1" t="s">
        <v>76</v>
      </c>
      <c r="D425" s="1" t="s">
        <v>101</v>
      </c>
      <c r="E425" s="1">
        <v>11</v>
      </c>
      <c r="F425" s="1">
        <v>73</v>
      </c>
      <c r="G425" s="1" t="s">
        <v>652</v>
      </c>
    </row>
    <row r="426" spans="1:7" x14ac:dyDescent="0.3">
      <c r="A426" s="1" t="s">
        <v>28</v>
      </c>
      <c r="B426" s="1" t="s">
        <v>54</v>
      </c>
      <c r="C426" s="1" t="s">
        <v>201</v>
      </c>
      <c r="D426" s="1" t="s">
        <v>56</v>
      </c>
      <c r="E426" s="1">
        <v>16</v>
      </c>
      <c r="F426" s="1">
        <v>102</v>
      </c>
      <c r="G426" s="1" t="s">
        <v>653</v>
      </c>
    </row>
    <row r="427" spans="1:7" x14ac:dyDescent="0.3">
      <c r="A427" s="1" t="s">
        <v>28</v>
      </c>
      <c r="B427" s="1" t="s">
        <v>54</v>
      </c>
      <c r="C427" s="1" t="s">
        <v>359</v>
      </c>
      <c r="D427" s="1" t="s">
        <v>133</v>
      </c>
      <c r="E427" s="1">
        <v>184</v>
      </c>
      <c r="F427" s="1">
        <v>53</v>
      </c>
      <c r="G427" s="1" t="s">
        <v>654</v>
      </c>
    </row>
    <row r="428" spans="1:7" x14ac:dyDescent="0.3">
      <c r="A428" s="1" t="s">
        <v>28</v>
      </c>
      <c r="B428" s="1" t="s">
        <v>54</v>
      </c>
      <c r="C428" s="1" t="s">
        <v>127</v>
      </c>
      <c r="D428" s="1" t="s">
        <v>70</v>
      </c>
      <c r="E428" s="1">
        <v>45</v>
      </c>
      <c r="F428" s="1">
        <v>42</v>
      </c>
      <c r="G428" s="1" t="s">
        <v>655</v>
      </c>
    </row>
    <row r="429" spans="1:7" x14ac:dyDescent="0.3">
      <c r="A429" s="1" t="s">
        <v>28</v>
      </c>
      <c r="B429" s="1" t="s">
        <v>54</v>
      </c>
      <c r="C429" s="1" t="s">
        <v>159</v>
      </c>
      <c r="D429" s="1" t="s">
        <v>86</v>
      </c>
      <c r="E429" s="1">
        <v>22</v>
      </c>
      <c r="F429" s="1">
        <v>86</v>
      </c>
      <c r="G429" s="1" t="s">
        <v>518</v>
      </c>
    </row>
    <row r="430" spans="1:7" x14ac:dyDescent="0.3">
      <c r="A430" s="1" t="s">
        <v>28</v>
      </c>
      <c r="B430" s="1" t="s">
        <v>54</v>
      </c>
      <c r="C430" s="1" t="s">
        <v>116</v>
      </c>
      <c r="D430" s="1" t="s">
        <v>338</v>
      </c>
      <c r="E430" s="1">
        <v>31</v>
      </c>
      <c r="F430" s="1">
        <v>83</v>
      </c>
      <c r="G430" s="1" t="s">
        <v>656</v>
      </c>
    </row>
    <row r="431" spans="1:7" x14ac:dyDescent="0.3">
      <c r="A431" s="1" t="s">
        <v>28</v>
      </c>
      <c r="B431" s="1" t="s">
        <v>54</v>
      </c>
      <c r="C431" s="1" t="s">
        <v>391</v>
      </c>
      <c r="D431" s="1" t="s">
        <v>336</v>
      </c>
      <c r="E431" s="1">
        <v>175</v>
      </c>
      <c r="F431" s="1">
        <v>84</v>
      </c>
      <c r="G431" s="1" t="s">
        <v>657</v>
      </c>
    </row>
    <row r="432" spans="1:7" x14ac:dyDescent="0.3">
      <c r="A432" s="1" t="s">
        <v>28</v>
      </c>
      <c r="B432" s="1" t="s">
        <v>54</v>
      </c>
      <c r="C432" s="1" t="s">
        <v>352</v>
      </c>
      <c r="D432" s="1" t="s">
        <v>235</v>
      </c>
      <c r="E432" s="1">
        <v>353</v>
      </c>
      <c r="F432" s="1">
        <v>39</v>
      </c>
      <c r="G432" s="1" t="s">
        <v>642</v>
      </c>
    </row>
    <row r="433" spans="1:7" x14ac:dyDescent="0.3">
      <c r="A433" s="1" t="s">
        <v>28</v>
      </c>
      <c r="B433" s="1" t="s">
        <v>54</v>
      </c>
      <c r="C433" s="1" t="s">
        <v>103</v>
      </c>
      <c r="D433" s="1" t="s">
        <v>340</v>
      </c>
      <c r="E433" s="1">
        <v>4</v>
      </c>
      <c r="F433" s="1">
        <v>101</v>
      </c>
      <c r="G433" s="1" t="s">
        <v>607</v>
      </c>
    </row>
    <row r="434" spans="1:7" x14ac:dyDescent="0.3">
      <c r="A434" s="1" t="s">
        <v>28</v>
      </c>
      <c r="B434" s="1" t="s">
        <v>54</v>
      </c>
      <c r="C434" s="1" t="s">
        <v>115</v>
      </c>
      <c r="D434" s="1" t="s">
        <v>392</v>
      </c>
      <c r="E434" s="1">
        <v>6</v>
      </c>
      <c r="F434" s="1">
        <v>135</v>
      </c>
      <c r="G434" s="1" t="s">
        <v>269</v>
      </c>
    </row>
    <row r="435" spans="1:7" x14ac:dyDescent="0.3">
      <c r="A435" s="1" t="s">
        <v>28</v>
      </c>
      <c r="B435" s="1" t="s">
        <v>54</v>
      </c>
      <c r="C435" s="1" t="s">
        <v>118</v>
      </c>
      <c r="D435" s="1" t="s">
        <v>353</v>
      </c>
      <c r="E435" s="1">
        <v>137</v>
      </c>
      <c r="F435" s="1">
        <v>361</v>
      </c>
      <c r="G435" s="1" t="s">
        <v>658</v>
      </c>
    </row>
    <row r="436" spans="1:7" x14ac:dyDescent="0.3">
      <c r="A436" s="1" t="s">
        <v>28</v>
      </c>
      <c r="B436" s="1" t="s">
        <v>54</v>
      </c>
      <c r="C436" s="1" t="s">
        <v>186</v>
      </c>
      <c r="D436" s="1" t="s">
        <v>139</v>
      </c>
      <c r="E436" s="1">
        <v>58</v>
      </c>
      <c r="F436" s="1">
        <v>40</v>
      </c>
      <c r="G436" s="1" t="s">
        <v>659</v>
      </c>
    </row>
    <row r="437" spans="1:7" x14ac:dyDescent="0.3">
      <c r="A437" s="1" t="s">
        <v>28</v>
      </c>
      <c r="B437" s="1" t="s">
        <v>54</v>
      </c>
      <c r="C437" s="1" t="s">
        <v>89</v>
      </c>
      <c r="D437" s="1" t="s">
        <v>68</v>
      </c>
      <c r="E437" s="1">
        <v>77</v>
      </c>
      <c r="F437" s="1">
        <v>30</v>
      </c>
      <c r="G437" s="1" t="s">
        <v>660</v>
      </c>
    </row>
    <row r="438" spans="1:7" x14ac:dyDescent="0.3">
      <c r="A438" s="1" t="s">
        <v>28</v>
      </c>
      <c r="B438" s="1" t="s">
        <v>54</v>
      </c>
      <c r="C438" s="1" t="s">
        <v>162</v>
      </c>
      <c r="D438" s="1" t="s">
        <v>107</v>
      </c>
      <c r="E438" s="1">
        <v>21</v>
      </c>
      <c r="F438" s="1">
        <v>105</v>
      </c>
      <c r="G438" s="1" t="s">
        <v>661</v>
      </c>
    </row>
    <row r="439" spans="1:7" x14ac:dyDescent="0.3">
      <c r="A439" s="1" t="s">
        <v>28</v>
      </c>
      <c r="B439" s="1" t="s">
        <v>54</v>
      </c>
      <c r="C439" s="1" t="s">
        <v>64</v>
      </c>
      <c r="D439" s="1" t="s">
        <v>145</v>
      </c>
      <c r="E439" s="1">
        <v>59</v>
      </c>
      <c r="F439" s="1">
        <v>43</v>
      </c>
      <c r="G439" s="1" t="s">
        <v>581</v>
      </c>
    </row>
    <row r="440" spans="1:7" x14ac:dyDescent="0.3">
      <c r="A440" s="1" t="s">
        <v>28</v>
      </c>
      <c r="B440" s="1" t="s">
        <v>54</v>
      </c>
      <c r="C440" s="1" t="s">
        <v>369</v>
      </c>
      <c r="D440" s="1" t="s">
        <v>339</v>
      </c>
      <c r="E440" s="1">
        <v>107</v>
      </c>
      <c r="F440" s="1">
        <v>131</v>
      </c>
      <c r="G440" s="1" t="s">
        <v>245</v>
      </c>
    </row>
    <row r="441" spans="1:7" x14ac:dyDescent="0.3">
      <c r="A441" s="1" t="s">
        <v>28</v>
      </c>
      <c r="B441" s="1" t="s">
        <v>54</v>
      </c>
      <c r="C441" s="1" t="s">
        <v>198</v>
      </c>
      <c r="D441" s="1" t="s">
        <v>342</v>
      </c>
      <c r="E441" s="1">
        <v>12</v>
      </c>
      <c r="F441" s="1">
        <v>140</v>
      </c>
      <c r="G441" s="1" t="s">
        <v>662</v>
      </c>
    </row>
    <row r="442" spans="1:7" x14ac:dyDescent="0.3">
      <c r="A442" s="1" t="s">
        <v>28</v>
      </c>
      <c r="B442" s="1" t="s">
        <v>54</v>
      </c>
      <c r="C442" s="1" t="s">
        <v>168</v>
      </c>
      <c r="D442" s="1" t="s">
        <v>147</v>
      </c>
      <c r="E442" s="1">
        <v>51</v>
      </c>
      <c r="F442" s="1">
        <v>13</v>
      </c>
      <c r="G442" s="1" t="s">
        <v>663</v>
      </c>
    </row>
    <row r="443" spans="1:7" x14ac:dyDescent="0.3">
      <c r="A443" s="1" t="s">
        <v>28</v>
      </c>
      <c r="B443" s="1" t="s">
        <v>54</v>
      </c>
      <c r="C443" s="1" t="s">
        <v>61</v>
      </c>
      <c r="D443" s="1" t="s">
        <v>175</v>
      </c>
      <c r="E443" s="1">
        <v>55</v>
      </c>
      <c r="F443" s="1">
        <v>78</v>
      </c>
      <c r="G443" s="1" t="s">
        <v>664</v>
      </c>
    </row>
    <row r="444" spans="1:7" x14ac:dyDescent="0.3">
      <c r="A444" s="1" t="s">
        <v>28</v>
      </c>
      <c r="B444" s="1" t="s">
        <v>54</v>
      </c>
      <c r="C444" s="1" t="s">
        <v>137</v>
      </c>
      <c r="D444" s="1" t="s">
        <v>210</v>
      </c>
      <c r="E444" s="1">
        <v>82</v>
      </c>
      <c r="F444" s="1">
        <v>87</v>
      </c>
      <c r="G444" s="1" t="s">
        <v>665</v>
      </c>
    </row>
    <row r="445" spans="1:7" x14ac:dyDescent="0.3">
      <c r="A445" s="1" t="s">
        <v>28</v>
      </c>
      <c r="B445" s="1" t="s">
        <v>54</v>
      </c>
      <c r="C445" s="1" t="s">
        <v>204</v>
      </c>
      <c r="D445" s="1" t="s">
        <v>196</v>
      </c>
      <c r="E445" s="1">
        <v>18</v>
      </c>
      <c r="F445" s="1">
        <v>91</v>
      </c>
      <c r="G445" s="1" t="s">
        <v>622</v>
      </c>
    </row>
    <row r="446" spans="1:7" x14ac:dyDescent="0.3">
      <c r="A446" s="1" t="s">
        <v>28</v>
      </c>
      <c r="B446" s="1" t="s">
        <v>54</v>
      </c>
      <c r="C446" s="1" t="s">
        <v>241</v>
      </c>
      <c r="D446" s="1" t="s">
        <v>143</v>
      </c>
      <c r="E446" s="1">
        <v>34</v>
      </c>
      <c r="F446" s="1">
        <v>103</v>
      </c>
      <c r="G446" s="1" t="s">
        <v>666</v>
      </c>
    </row>
    <row r="447" spans="1:7" x14ac:dyDescent="0.3">
      <c r="A447" s="1" t="s">
        <v>28</v>
      </c>
      <c r="B447" s="1" t="s">
        <v>54</v>
      </c>
      <c r="C447" s="1" t="s">
        <v>394</v>
      </c>
      <c r="D447" s="1" t="s">
        <v>393</v>
      </c>
      <c r="E447" s="1">
        <v>127</v>
      </c>
      <c r="F447" s="1">
        <v>389</v>
      </c>
      <c r="G447" s="1" t="s">
        <v>667</v>
      </c>
    </row>
    <row r="448" spans="1:7" x14ac:dyDescent="0.3">
      <c r="A448" s="1" t="s">
        <v>28</v>
      </c>
      <c r="B448" s="1" t="s">
        <v>54</v>
      </c>
      <c r="C448" s="1" t="s">
        <v>349</v>
      </c>
      <c r="D448" s="1" t="s">
        <v>205</v>
      </c>
      <c r="E448" s="1">
        <v>65</v>
      </c>
      <c r="F448" s="1">
        <v>111</v>
      </c>
      <c r="G448" s="1" t="s">
        <v>668</v>
      </c>
    </row>
    <row r="449" spans="1:7" x14ac:dyDescent="0.3">
      <c r="A449" s="1" t="s">
        <v>28</v>
      </c>
      <c r="B449" s="1" t="s">
        <v>54</v>
      </c>
      <c r="C449" s="1" t="s">
        <v>195</v>
      </c>
      <c r="D449" s="1" t="s">
        <v>156</v>
      </c>
      <c r="E449" s="1">
        <v>2</v>
      </c>
      <c r="F449" s="1">
        <v>67</v>
      </c>
      <c r="G449" s="1" t="s">
        <v>468</v>
      </c>
    </row>
    <row r="450" spans="1:7" x14ac:dyDescent="0.3">
      <c r="A450" s="1" t="s">
        <v>28</v>
      </c>
      <c r="B450" s="1" t="s">
        <v>246</v>
      </c>
      <c r="C450" s="1" t="s">
        <v>55</v>
      </c>
      <c r="D450" s="1" t="s">
        <v>140</v>
      </c>
      <c r="E450" s="1">
        <v>1</v>
      </c>
      <c r="F450" s="1">
        <v>36</v>
      </c>
      <c r="G450" s="1" t="s">
        <v>669</v>
      </c>
    </row>
    <row r="451" spans="1:7" x14ac:dyDescent="0.3">
      <c r="A451" s="1" t="s">
        <v>28</v>
      </c>
      <c r="B451" s="1" t="s">
        <v>246</v>
      </c>
      <c r="C451" s="1" t="s">
        <v>121</v>
      </c>
      <c r="D451" s="1" t="s">
        <v>357</v>
      </c>
      <c r="E451" s="1">
        <v>29</v>
      </c>
      <c r="F451" s="1">
        <v>98</v>
      </c>
      <c r="G451" s="1" t="s">
        <v>670</v>
      </c>
    </row>
    <row r="452" spans="1:7" x14ac:dyDescent="0.3">
      <c r="A452" s="1" t="s">
        <v>28</v>
      </c>
      <c r="B452" s="1" t="s">
        <v>246</v>
      </c>
      <c r="C452" s="1" t="s">
        <v>92</v>
      </c>
      <c r="D452" s="1" t="s">
        <v>58</v>
      </c>
      <c r="E452" s="1">
        <v>24</v>
      </c>
      <c r="F452" s="1">
        <v>96</v>
      </c>
      <c r="G452" s="1" t="s">
        <v>413</v>
      </c>
    </row>
    <row r="453" spans="1:7" x14ac:dyDescent="0.3">
      <c r="A453" s="1" t="s">
        <v>28</v>
      </c>
      <c r="B453" s="1" t="s">
        <v>246</v>
      </c>
      <c r="C453" s="1" t="s">
        <v>219</v>
      </c>
      <c r="D453" s="1" t="s">
        <v>189</v>
      </c>
      <c r="E453" s="1">
        <v>14</v>
      </c>
      <c r="F453" s="1">
        <v>41</v>
      </c>
      <c r="G453" s="1" t="s">
        <v>671</v>
      </c>
    </row>
    <row r="454" spans="1:7" x14ac:dyDescent="0.3">
      <c r="A454" s="1" t="s">
        <v>28</v>
      </c>
      <c r="B454" s="1" t="s">
        <v>246</v>
      </c>
      <c r="C454" s="1" t="s">
        <v>124</v>
      </c>
      <c r="D454" s="1" t="s">
        <v>169</v>
      </c>
      <c r="E454" s="1">
        <v>10</v>
      </c>
      <c r="F454" s="1">
        <v>80</v>
      </c>
      <c r="G454" s="1" t="s">
        <v>672</v>
      </c>
    </row>
    <row r="455" spans="1:7" x14ac:dyDescent="0.3">
      <c r="A455" s="1" t="s">
        <v>28</v>
      </c>
      <c r="B455" s="1" t="s">
        <v>246</v>
      </c>
      <c r="C455" s="1" t="s">
        <v>65</v>
      </c>
      <c r="D455" s="1" t="s">
        <v>104</v>
      </c>
      <c r="E455" s="1">
        <v>26</v>
      </c>
      <c r="F455" s="1">
        <v>92</v>
      </c>
      <c r="G455" s="1" t="s">
        <v>673</v>
      </c>
    </row>
    <row r="456" spans="1:7" x14ac:dyDescent="0.3">
      <c r="A456" s="1" t="s">
        <v>28</v>
      </c>
      <c r="B456" s="1" t="s">
        <v>246</v>
      </c>
      <c r="C456" s="1" t="s">
        <v>199</v>
      </c>
      <c r="D456" s="1" t="s">
        <v>85</v>
      </c>
      <c r="E456" s="1">
        <v>44</v>
      </c>
      <c r="F456" s="1">
        <v>33</v>
      </c>
      <c r="G456" s="1" t="s">
        <v>674</v>
      </c>
    </row>
    <row r="457" spans="1:7" x14ac:dyDescent="0.3">
      <c r="A457" s="1" t="s">
        <v>28</v>
      </c>
      <c r="B457" s="1" t="s">
        <v>246</v>
      </c>
      <c r="C457" s="1" t="s">
        <v>95</v>
      </c>
      <c r="D457" s="1" t="s">
        <v>174</v>
      </c>
      <c r="E457" s="1">
        <v>48</v>
      </c>
      <c r="F457" s="1">
        <v>5</v>
      </c>
      <c r="G457" s="1" t="s">
        <v>421</v>
      </c>
    </row>
    <row r="458" spans="1:7" x14ac:dyDescent="0.3">
      <c r="A458" s="1" t="s">
        <v>28</v>
      </c>
      <c r="B458" s="1" t="s">
        <v>246</v>
      </c>
      <c r="C458" s="1" t="s">
        <v>243</v>
      </c>
      <c r="D458" s="1" t="s">
        <v>237</v>
      </c>
      <c r="E458" s="1">
        <v>3</v>
      </c>
      <c r="F458" s="1">
        <v>60</v>
      </c>
      <c r="G458" s="1" t="s">
        <v>245</v>
      </c>
    </row>
    <row r="459" spans="1:7" x14ac:dyDescent="0.3">
      <c r="A459" s="1" t="s">
        <v>28</v>
      </c>
      <c r="B459" s="1" t="s">
        <v>246</v>
      </c>
      <c r="C459" s="1" t="s">
        <v>207</v>
      </c>
      <c r="D459" s="1" t="s">
        <v>178</v>
      </c>
      <c r="E459" s="1">
        <v>27</v>
      </c>
      <c r="F459" s="1">
        <v>94</v>
      </c>
      <c r="G459" s="1" t="s">
        <v>675</v>
      </c>
    </row>
    <row r="460" spans="1:7" x14ac:dyDescent="0.3">
      <c r="A460" s="1" t="s">
        <v>28</v>
      </c>
      <c r="B460" s="1" t="s">
        <v>246</v>
      </c>
      <c r="C460" s="1" t="s">
        <v>386</v>
      </c>
      <c r="D460" s="1" t="s">
        <v>229</v>
      </c>
      <c r="E460" s="1">
        <v>173</v>
      </c>
      <c r="F460" s="1">
        <v>85</v>
      </c>
      <c r="G460" s="1" t="s">
        <v>676</v>
      </c>
    </row>
    <row r="461" spans="1:7" x14ac:dyDescent="0.3">
      <c r="A461" s="1" t="s">
        <v>28</v>
      </c>
      <c r="B461" s="1" t="s">
        <v>246</v>
      </c>
      <c r="C461" s="1" t="s">
        <v>128</v>
      </c>
      <c r="D461" s="1" t="s">
        <v>97</v>
      </c>
      <c r="E461" s="1">
        <v>15</v>
      </c>
      <c r="F461" s="1">
        <v>113</v>
      </c>
      <c r="G461" s="1" t="s">
        <v>677</v>
      </c>
    </row>
    <row r="462" spans="1:7" x14ac:dyDescent="0.3">
      <c r="A462" s="1" t="s">
        <v>28</v>
      </c>
      <c r="B462" s="1" t="s">
        <v>246</v>
      </c>
      <c r="C462" s="1" t="s">
        <v>119</v>
      </c>
      <c r="D462" s="1" t="s">
        <v>88</v>
      </c>
      <c r="E462" s="1">
        <v>76</v>
      </c>
      <c r="F462" s="1">
        <v>9</v>
      </c>
      <c r="G462" s="1" t="s">
        <v>678</v>
      </c>
    </row>
    <row r="463" spans="1:7" x14ac:dyDescent="0.3">
      <c r="A463" s="1" t="s">
        <v>28</v>
      </c>
      <c r="B463" s="1" t="s">
        <v>246</v>
      </c>
      <c r="C463" s="1" t="s">
        <v>383</v>
      </c>
      <c r="D463" s="1" t="s">
        <v>91</v>
      </c>
      <c r="E463" s="1">
        <v>435</v>
      </c>
      <c r="F463" s="1">
        <v>19</v>
      </c>
      <c r="G463" s="1" t="s">
        <v>679</v>
      </c>
    </row>
    <row r="464" spans="1:7" x14ac:dyDescent="0.3">
      <c r="A464" s="1" t="s">
        <v>28</v>
      </c>
      <c r="B464" s="1" t="s">
        <v>246</v>
      </c>
      <c r="C464" s="1" t="s">
        <v>109</v>
      </c>
      <c r="D464" s="1" t="s">
        <v>80</v>
      </c>
      <c r="E464" s="1">
        <v>56</v>
      </c>
      <c r="F464" s="1">
        <v>28</v>
      </c>
      <c r="G464" s="1" t="s">
        <v>680</v>
      </c>
    </row>
    <row r="465" spans="1:7" x14ac:dyDescent="0.3">
      <c r="A465" s="1" t="s">
        <v>28</v>
      </c>
      <c r="B465" s="1" t="s">
        <v>246</v>
      </c>
      <c r="C465" s="1" t="s">
        <v>100</v>
      </c>
      <c r="D465" s="1" t="s">
        <v>378</v>
      </c>
      <c r="E465" s="1">
        <v>8</v>
      </c>
      <c r="F465" s="1">
        <v>112</v>
      </c>
      <c r="G465" s="1" t="s">
        <v>215</v>
      </c>
    </row>
    <row r="466" spans="1:7" x14ac:dyDescent="0.3">
      <c r="A466" s="1" t="s">
        <v>28</v>
      </c>
      <c r="B466" s="1" t="s">
        <v>246</v>
      </c>
      <c r="C466" s="1" t="s">
        <v>150</v>
      </c>
      <c r="D466" s="1" t="s">
        <v>388</v>
      </c>
      <c r="E466" s="1">
        <v>7</v>
      </c>
      <c r="F466" s="1">
        <v>145</v>
      </c>
      <c r="G466" s="1" t="s">
        <v>681</v>
      </c>
    </row>
    <row r="467" spans="1:7" x14ac:dyDescent="0.3">
      <c r="A467" s="1" t="s">
        <v>28</v>
      </c>
      <c r="B467" s="1" t="s">
        <v>246</v>
      </c>
      <c r="C467" s="1" t="s">
        <v>74</v>
      </c>
      <c r="D467" s="1" t="s">
        <v>110</v>
      </c>
      <c r="E467" s="1">
        <v>35</v>
      </c>
      <c r="F467" s="1">
        <v>54</v>
      </c>
      <c r="G467" s="1" t="s">
        <v>682</v>
      </c>
    </row>
    <row r="468" spans="1:7" x14ac:dyDescent="0.3">
      <c r="A468" s="1" t="s">
        <v>28</v>
      </c>
      <c r="B468" s="1" t="s">
        <v>246</v>
      </c>
      <c r="C468" s="1" t="s">
        <v>136</v>
      </c>
      <c r="D468" s="1" t="s">
        <v>384</v>
      </c>
      <c r="E468" s="1">
        <v>17</v>
      </c>
      <c r="F468" s="1">
        <v>431</v>
      </c>
      <c r="G468" s="1" t="s">
        <v>683</v>
      </c>
    </row>
    <row r="469" spans="1:7" x14ac:dyDescent="0.3">
      <c r="A469" s="1" t="s">
        <v>28</v>
      </c>
      <c r="B469" s="1" t="s">
        <v>246</v>
      </c>
      <c r="C469" s="1" t="s">
        <v>208</v>
      </c>
      <c r="D469" s="1" t="s">
        <v>76</v>
      </c>
      <c r="E469" s="1">
        <v>144</v>
      </c>
      <c r="F469" s="1">
        <v>11</v>
      </c>
      <c r="G469" s="1" t="s">
        <v>684</v>
      </c>
    </row>
    <row r="470" spans="1:7" x14ac:dyDescent="0.3">
      <c r="A470" s="1" t="s">
        <v>28</v>
      </c>
      <c r="B470" s="1" t="s">
        <v>246</v>
      </c>
      <c r="C470" s="1" t="s">
        <v>359</v>
      </c>
      <c r="D470" s="1" t="s">
        <v>201</v>
      </c>
      <c r="E470" s="1">
        <v>184</v>
      </c>
      <c r="F470" s="1">
        <v>16</v>
      </c>
      <c r="G470" s="1" t="s">
        <v>685</v>
      </c>
    </row>
    <row r="471" spans="1:7" x14ac:dyDescent="0.3">
      <c r="A471" s="1" t="s">
        <v>28</v>
      </c>
      <c r="B471" s="1" t="s">
        <v>246</v>
      </c>
      <c r="C471" s="1" t="s">
        <v>159</v>
      </c>
      <c r="D471" s="1" t="s">
        <v>127</v>
      </c>
      <c r="E471" s="1">
        <v>22</v>
      </c>
      <c r="F471" s="1">
        <v>45</v>
      </c>
      <c r="G471" s="1" t="s">
        <v>686</v>
      </c>
    </row>
    <row r="472" spans="1:7" x14ac:dyDescent="0.3">
      <c r="A472" s="1" t="s">
        <v>28</v>
      </c>
      <c r="B472" s="1" t="s">
        <v>246</v>
      </c>
      <c r="C472" s="1" t="s">
        <v>391</v>
      </c>
      <c r="D472" s="1" t="s">
        <v>116</v>
      </c>
      <c r="E472" s="1">
        <v>175</v>
      </c>
      <c r="F472" s="1">
        <v>31</v>
      </c>
      <c r="G472" s="1" t="s">
        <v>687</v>
      </c>
    </row>
    <row r="473" spans="1:7" x14ac:dyDescent="0.3">
      <c r="A473" s="1" t="s">
        <v>28</v>
      </c>
      <c r="B473" s="1" t="s">
        <v>246</v>
      </c>
      <c r="C473" s="1" t="s">
        <v>103</v>
      </c>
      <c r="D473" s="1" t="s">
        <v>352</v>
      </c>
      <c r="E473" s="1">
        <v>4</v>
      </c>
      <c r="F473" s="1">
        <v>353</v>
      </c>
      <c r="G473" s="1" t="s">
        <v>688</v>
      </c>
    </row>
    <row r="474" spans="1:7" x14ac:dyDescent="0.3">
      <c r="A474" s="1" t="s">
        <v>28</v>
      </c>
      <c r="B474" s="1" t="s">
        <v>246</v>
      </c>
      <c r="C474" s="1" t="s">
        <v>115</v>
      </c>
      <c r="D474" s="1" t="s">
        <v>118</v>
      </c>
      <c r="E474" s="1">
        <v>6</v>
      </c>
      <c r="F474" s="1">
        <v>137</v>
      </c>
      <c r="G474" s="1" t="s">
        <v>689</v>
      </c>
    </row>
    <row r="475" spans="1:7" x14ac:dyDescent="0.3">
      <c r="A475" s="1" t="s">
        <v>28</v>
      </c>
      <c r="B475" s="1" t="s">
        <v>246</v>
      </c>
      <c r="C475" s="1" t="s">
        <v>89</v>
      </c>
      <c r="D475" s="1" t="s">
        <v>186</v>
      </c>
      <c r="E475" s="1">
        <v>77</v>
      </c>
      <c r="F475" s="1">
        <v>58</v>
      </c>
      <c r="G475" s="1" t="s">
        <v>690</v>
      </c>
    </row>
    <row r="476" spans="1:7" x14ac:dyDescent="0.3">
      <c r="A476" s="1" t="s">
        <v>28</v>
      </c>
      <c r="B476" s="1" t="s">
        <v>246</v>
      </c>
      <c r="C476" s="1" t="s">
        <v>162</v>
      </c>
      <c r="D476" s="1" t="s">
        <v>64</v>
      </c>
      <c r="E476" s="1">
        <v>21</v>
      </c>
      <c r="F476" s="1">
        <v>59</v>
      </c>
      <c r="G476" s="1" t="s">
        <v>691</v>
      </c>
    </row>
    <row r="477" spans="1:7" x14ac:dyDescent="0.3">
      <c r="A477" s="1" t="s">
        <v>28</v>
      </c>
      <c r="B477" s="1" t="s">
        <v>246</v>
      </c>
      <c r="C477" s="1" t="s">
        <v>369</v>
      </c>
      <c r="D477" s="1" t="s">
        <v>198</v>
      </c>
      <c r="E477" s="1">
        <v>107</v>
      </c>
      <c r="F477" s="1">
        <v>12</v>
      </c>
      <c r="G477" s="1" t="s">
        <v>692</v>
      </c>
    </row>
    <row r="478" spans="1:7" x14ac:dyDescent="0.3">
      <c r="A478" s="1" t="s">
        <v>28</v>
      </c>
      <c r="B478" s="1" t="s">
        <v>246</v>
      </c>
      <c r="C478" s="1" t="s">
        <v>168</v>
      </c>
      <c r="D478" s="1" t="s">
        <v>61</v>
      </c>
      <c r="E478" s="1">
        <v>51</v>
      </c>
      <c r="F478" s="1">
        <v>55</v>
      </c>
      <c r="G478" s="1" t="s">
        <v>693</v>
      </c>
    </row>
    <row r="479" spans="1:7" x14ac:dyDescent="0.3">
      <c r="A479" s="1" t="s">
        <v>28</v>
      </c>
      <c r="B479" s="1" t="s">
        <v>246</v>
      </c>
      <c r="C479" s="1" t="s">
        <v>137</v>
      </c>
      <c r="D479" s="1" t="s">
        <v>204</v>
      </c>
      <c r="E479" s="1">
        <v>82</v>
      </c>
      <c r="F479" s="1">
        <v>18</v>
      </c>
      <c r="G479" s="1" t="s">
        <v>694</v>
      </c>
    </row>
    <row r="480" spans="1:7" x14ac:dyDescent="0.3">
      <c r="A480" s="1" t="s">
        <v>28</v>
      </c>
      <c r="B480" s="1" t="s">
        <v>246</v>
      </c>
      <c r="C480" s="1" t="s">
        <v>241</v>
      </c>
      <c r="D480" s="1" t="s">
        <v>394</v>
      </c>
      <c r="E480" s="1">
        <v>34</v>
      </c>
      <c r="F480" s="1">
        <v>127</v>
      </c>
      <c r="G480" s="1" t="s">
        <v>695</v>
      </c>
    </row>
    <row r="481" spans="1:7" x14ac:dyDescent="0.3">
      <c r="A481" s="1" t="s">
        <v>28</v>
      </c>
      <c r="B481" s="1" t="s">
        <v>246</v>
      </c>
      <c r="C481" s="1" t="s">
        <v>195</v>
      </c>
      <c r="D481" s="1" t="s">
        <v>349</v>
      </c>
      <c r="E481" s="1">
        <v>2</v>
      </c>
      <c r="F481" s="1">
        <v>65</v>
      </c>
      <c r="G481" s="1" t="s">
        <v>696</v>
      </c>
    </row>
    <row r="482" spans="1:7" x14ac:dyDescent="0.3">
      <c r="A482" s="1" t="s">
        <v>28</v>
      </c>
      <c r="B482" s="1" t="s">
        <v>279</v>
      </c>
      <c r="C482" s="1" t="s">
        <v>55</v>
      </c>
      <c r="D482" s="1" t="s">
        <v>121</v>
      </c>
      <c r="E482" s="1">
        <v>1</v>
      </c>
      <c r="F482" s="1">
        <v>29</v>
      </c>
      <c r="G482" s="1" t="s">
        <v>697</v>
      </c>
    </row>
    <row r="483" spans="1:7" x14ac:dyDescent="0.3">
      <c r="A483" s="1" t="s">
        <v>28</v>
      </c>
      <c r="B483" s="1" t="s">
        <v>279</v>
      </c>
      <c r="C483" s="1" t="s">
        <v>92</v>
      </c>
      <c r="D483" s="1" t="s">
        <v>219</v>
      </c>
      <c r="E483" s="1">
        <v>24</v>
      </c>
      <c r="F483" s="1">
        <v>14</v>
      </c>
      <c r="G483" s="1" t="s">
        <v>698</v>
      </c>
    </row>
    <row r="484" spans="1:7" x14ac:dyDescent="0.3">
      <c r="A484" s="1" t="s">
        <v>28</v>
      </c>
      <c r="B484" s="1" t="s">
        <v>279</v>
      </c>
      <c r="C484" s="1" t="s">
        <v>124</v>
      </c>
      <c r="D484" s="1" t="s">
        <v>65</v>
      </c>
      <c r="E484" s="1">
        <v>10</v>
      </c>
      <c r="F484" s="1">
        <v>26</v>
      </c>
      <c r="G484" s="1" t="s">
        <v>699</v>
      </c>
    </row>
    <row r="485" spans="1:7" x14ac:dyDescent="0.3">
      <c r="A485" s="1" t="s">
        <v>28</v>
      </c>
      <c r="B485" s="1" t="s">
        <v>279</v>
      </c>
      <c r="C485" s="1" t="s">
        <v>199</v>
      </c>
      <c r="D485" s="1" t="s">
        <v>95</v>
      </c>
      <c r="E485" s="1">
        <v>44</v>
      </c>
      <c r="F485" s="1">
        <v>48</v>
      </c>
      <c r="G485" s="1" t="s">
        <v>288</v>
      </c>
    </row>
    <row r="486" spans="1:7" x14ac:dyDescent="0.3">
      <c r="A486" s="1" t="s">
        <v>28</v>
      </c>
      <c r="B486" s="1" t="s">
        <v>279</v>
      </c>
      <c r="C486" s="1" t="s">
        <v>207</v>
      </c>
      <c r="D486" s="1" t="s">
        <v>243</v>
      </c>
      <c r="E486" s="1">
        <v>27</v>
      </c>
      <c r="F486" s="1">
        <v>3</v>
      </c>
      <c r="G486" s="1" t="s">
        <v>700</v>
      </c>
    </row>
    <row r="487" spans="1:7" x14ac:dyDescent="0.3">
      <c r="A487" s="1" t="s">
        <v>28</v>
      </c>
      <c r="B487" s="1" t="s">
        <v>279</v>
      </c>
      <c r="C487" s="1" t="s">
        <v>128</v>
      </c>
      <c r="D487" s="1" t="s">
        <v>386</v>
      </c>
      <c r="E487" s="1">
        <v>15</v>
      </c>
      <c r="F487" s="1">
        <v>173</v>
      </c>
      <c r="G487" s="1" t="s">
        <v>701</v>
      </c>
    </row>
    <row r="488" spans="1:7" x14ac:dyDescent="0.3">
      <c r="A488" s="1" t="s">
        <v>28</v>
      </c>
      <c r="B488" s="1" t="s">
        <v>279</v>
      </c>
      <c r="C488" s="1" t="s">
        <v>383</v>
      </c>
      <c r="D488" s="1" t="s">
        <v>119</v>
      </c>
      <c r="E488" s="1">
        <v>435</v>
      </c>
      <c r="F488" s="1">
        <v>76</v>
      </c>
      <c r="G488" s="1" t="s">
        <v>702</v>
      </c>
    </row>
    <row r="489" spans="1:7" x14ac:dyDescent="0.3">
      <c r="A489" s="1" t="s">
        <v>28</v>
      </c>
      <c r="B489" s="1" t="s">
        <v>279</v>
      </c>
      <c r="C489" s="1" t="s">
        <v>100</v>
      </c>
      <c r="D489" s="1" t="s">
        <v>109</v>
      </c>
      <c r="E489" s="1">
        <v>8</v>
      </c>
      <c r="F489" s="1">
        <v>56</v>
      </c>
      <c r="G489" s="1" t="s">
        <v>703</v>
      </c>
    </row>
    <row r="490" spans="1:7" x14ac:dyDescent="0.3">
      <c r="A490" s="1" t="s">
        <v>28</v>
      </c>
      <c r="B490" s="1" t="s">
        <v>279</v>
      </c>
      <c r="C490" s="1" t="s">
        <v>150</v>
      </c>
      <c r="D490" s="1" t="s">
        <v>74</v>
      </c>
      <c r="E490" s="1">
        <v>7</v>
      </c>
      <c r="F490" s="1">
        <v>35</v>
      </c>
      <c r="G490" s="1" t="s">
        <v>704</v>
      </c>
    </row>
    <row r="491" spans="1:7" x14ac:dyDescent="0.3">
      <c r="A491" s="1" t="s">
        <v>28</v>
      </c>
      <c r="B491" s="1" t="s">
        <v>279</v>
      </c>
      <c r="C491" s="1" t="s">
        <v>208</v>
      </c>
      <c r="D491" s="1" t="s">
        <v>136</v>
      </c>
      <c r="E491" s="1">
        <v>144</v>
      </c>
      <c r="F491" s="1">
        <v>17</v>
      </c>
      <c r="G491" s="1" t="s">
        <v>705</v>
      </c>
    </row>
    <row r="492" spans="1:7" x14ac:dyDescent="0.3">
      <c r="A492" s="1" t="s">
        <v>28</v>
      </c>
      <c r="B492" s="1" t="s">
        <v>279</v>
      </c>
      <c r="C492" s="1" t="s">
        <v>159</v>
      </c>
      <c r="D492" s="1" t="s">
        <v>359</v>
      </c>
      <c r="E492" s="1">
        <v>22</v>
      </c>
      <c r="F492" s="1">
        <v>184</v>
      </c>
      <c r="G492" s="1" t="s">
        <v>706</v>
      </c>
    </row>
    <row r="493" spans="1:7" x14ac:dyDescent="0.3">
      <c r="A493" s="1" t="s">
        <v>28</v>
      </c>
      <c r="B493" s="1" t="s">
        <v>279</v>
      </c>
      <c r="C493" s="1" t="s">
        <v>103</v>
      </c>
      <c r="D493" s="1" t="s">
        <v>391</v>
      </c>
      <c r="E493" s="1">
        <v>4</v>
      </c>
      <c r="F493" s="1">
        <v>175</v>
      </c>
      <c r="G493" s="1" t="s">
        <v>707</v>
      </c>
    </row>
    <row r="494" spans="1:7" x14ac:dyDescent="0.3">
      <c r="A494" s="1" t="s">
        <v>28</v>
      </c>
      <c r="B494" s="1" t="s">
        <v>279</v>
      </c>
      <c r="C494" s="1" t="s">
        <v>89</v>
      </c>
      <c r="D494" s="1" t="s">
        <v>115</v>
      </c>
      <c r="E494" s="1">
        <v>77</v>
      </c>
      <c r="F494" s="1">
        <v>6</v>
      </c>
      <c r="G494" s="1" t="s">
        <v>708</v>
      </c>
    </row>
    <row r="495" spans="1:7" x14ac:dyDescent="0.3">
      <c r="A495" s="1" t="s">
        <v>28</v>
      </c>
      <c r="B495" s="1" t="s">
        <v>279</v>
      </c>
      <c r="C495" s="1" t="s">
        <v>162</v>
      </c>
      <c r="D495" s="1" t="s">
        <v>369</v>
      </c>
      <c r="E495" s="1">
        <v>21</v>
      </c>
      <c r="F495" s="1">
        <v>107</v>
      </c>
      <c r="G495" s="1" t="s">
        <v>245</v>
      </c>
    </row>
    <row r="496" spans="1:7" x14ac:dyDescent="0.3">
      <c r="A496" s="1" t="s">
        <v>28</v>
      </c>
      <c r="B496" s="1" t="s">
        <v>279</v>
      </c>
      <c r="C496" s="1" t="s">
        <v>137</v>
      </c>
      <c r="D496" s="1" t="s">
        <v>168</v>
      </c>
      <c r="E496" s="1">
        <v>82</v>
      </c>
      <c r="F496" s="1">
        <v>51</v>
      </c>
      <c r="G496" s="1" t="s">
        <v>424</v>
      </c>
    </row>
    <row r="497" spans="1:7" x14ac:dyDescent="0.3">
      <c r="A497" s="1" t="s">
        <v>28</v>
      </c>
      <c r="B497" s="1" t="s">
        <v>279</v>
      </c>
      <c r="C497" s="1" t="s">
        <v>195</v>
      </c>
      <c r="D497" s="1" t="s">
        <v>241</v>
      </c>
      <c r="E497" s="1">
        <v>2</v>
      </c>
      <c r="F497" s="1">
        <v>34</v>
      </c>
      <c r="G497" s="1" t="s">
        <v>709</v>
      </c>
    </row>
    <row r="498" spans="1:7" x14ac:dyDescent="0.3">
      <c r="A498" s="1" t="s">
        <v>28</v>
      </c>
      <c r="B498" s="1" t="s">
        <v>295</v>
      </c>
      <c r="C498" s="1" t="s">
        <v>55</v>
      </c>
      <c r="D498" s="1" t="s">
        <v>92</v>
      </c>
      <c r="E498" s="1">
        <v>1</v>
      </c>
      <c r="F498" s="1">
        <v>24</v>
      </c>
      <c r="G498" s="1" t="s">
        <v>302</v>
      </c>
    </row>
    <row r="499" spans="1:7" x14ac:dyDescent="0.3">
      <c r="A499" s="1" t="s">
        <v>28</v>
      </c>
      <c r="B499" s="1" t="s">
        <v>295</v>
      </c>
      <c r="C499" s="1" t="s">
        <v>124</v>
      </c>
      <c r="D499" s="1" t="s">
        <v>199</v>
      </c>
      <c r="E499" s="1">
        <v>10</v>
      </c>
      <c r="F499" s="1">
        <v>44</v>
      </c>
      <c r="G499" s="1" t="s">
        <v>710</v>
      </c>
    </row>
    <row r="500" spans="1:7" x14ac:dyDescent="0.3">
      <c r="A500" s="1" t="s">
        <v>28</v>
      </c>
      <c r="B500" s="1" t="s">
        <v>295</v>
      </c>
      <c r="C500" s="1" t="s">
        <v>207</v>
      </c>
      <c r="D500" s="1" t="s">
        <v>128</v>
      </c>
      <c r="E500" s="1">
        <v>27</v>
      </c>
      <c r="F500" s="1">
        <v>15</v>
      </c>
      <c r="G500" s="1" t="s">
        <v>445</v>
      </c>
    </row>
    <row r="501" spans="1:7" x14ac:dyDescent="0.3">
      <c r="A501" s="1" t="s">
        <v>28</v>
      </c>
      <c r="B501" s="1" t="s">
        <v>295</v>
      </c>
      <c r="C501" s="1" t="s">
        <v>100</v>
      </c>
      <c r="D501" s="1" t="s">
        <v>383</v>
      </c>
      <c r="E501" s="1">
        <v>8</v>
      </c>
      <c r="F501" s="1">
        <v>435</v>
      </c>
      <c r="G501" s="1" t="s">
        <v>305</v>
      </c>
    </row>
    <row r="502" spans="1:7" x14ac:dyDescent="0.3">
      <c r="A502" s="1" t="s">
        <v>28</v>
      </c>
      <c r="B502" s="1" t="s">
        <v>295</v>
      </c>
      <c r="C502" s="1" t="s">
        <v>150</v>
      </c>
      <c r="D502" s="1" t="s">
        <v>208</v>
      </c>
      <c r="E502" s="1">
        <v>7</v>
      </c>
      <c r="F502" s="1">
        <v>144</v>
      </c>
      <c r="G502" s="1" t="s">
        <v>711</v>
      </c>
    </row>
    <row r="503" spans="1:7" x14ac:dyDescent="0.3">
      <c r="A503" s="1" t="s">
        <v>28</v>
      </c>
      <c r="B503" s="1" t="s">
        <v>295</v>
      </c>
      <c r="C503" s="1" t="s">
        <v>103</v>
      </c>
      <c r="D503" s="1" t="s">
        <v>159</v>
      </c>
      <c r="E503" s="1">
        <v>4</v>
      </c>
      <c r="F503" s="1">
        <v>22</v>
      </c>
      <c r="G503" s="1" t="s">
        <v>584</v>
      </c>
    </row>
    <row r="504" spans="1:7" x14ac:dyDescent="0.3">
      <c r="A504" s="1" t="s">
        <v>28</v>
      </c>
      <c r="B504" s="1" t="s">
        <v>295</v>
      </c>
      <c r="C504" s="1" t="s">
        <v>162</v>
      </c>
      <c r="D504" s="1" t="s">
        <v>89</v>
      </c>
      <c r="E504" s="1">
        <v>21</v>
      </c>
      <c r="F504" s="1">
        <v>77</v>
      </c>
      <c r="G504" s="1" t="s">
        <v>712</v>
      </c>
    </row>
    <row r="505" spans="1:7" x14ac:dyDescent="0.3">
      <c r="A505" s="1" t="s">
        <v>28</v>
      </c>
      <c r="B505" s="1" t="s">
        <v>295</v>
      </c>
      <c r="C505" s="1" t="s">
        <v>195</v>
      </c>
      <c r="D505" s="1" t="s">
        <v>137</v>
      </c>
      <c r="E505" s="1">
        <v>2</v>
      </c>
      <c r="F505" s="1">
        <v>82</v>
      </c>
      <c r="G505" s="1" t="s">
        <v>713</v>
      </c>
    </row>
    <row r="506" spans="1:7" x14ac:dyDescent="0.3">
      <c r="A506" s="1" t="s">
        <v>28</v>
      </c>
      <c r="B506" s="1" t="s">
        <v>304</v>
      </c>
      <c r="C506" s="1" t="s">
        <v>55</v>
      </c>
      <c r="D506" s="1" t="s">
        <v>124</v>
      </c>
      <c r="E506" s="1">
        <v>1</v>
      </c>
      <c r="F506" s="1">
        <v>10</v>
      </c>
      <c r="G506" s="1" t="s">
        <v>714</v>
      </c>
    </row>
    <row r="507" spans="1:7" x14ac:dyDescent="0.3">
      <c r="A507" s="1" t="s">
        <v>28</v>
      </c>
      <c r="B507" s="1" t="s">
        <v>304</v>
      </c>
      <c r="C507" s="1" t="s">
        <v>207</v>
      </c>
      <c r="D507" s="1" t="s">
        <v>100</v>
      </c>
      <c r="E507" s="1">
        <v>27</v>
      </c>
      <c r="F507" s="1">
        <v>8</v>
      </c>
      <c r="G507" s="1" t="s">
        <v>715</v>
      </c>
    </row>
    <row r="508" spans="1:7" x14ac:dyDescent="0.3">
      <c r="A508" s="1" t="s">
        <v>28</v>
      </c>
      <c r="B508" s="1" t="s">
        <v>304</v>
      </c>
      <c r="C508" s="1" t="s">
        <v>150</v>
      </c>
      <c r="D508" s="1" t="s">
        <v>103</v>
      </c>
      <c r="E508" s="1">
        <v>7</v>
      </c>
      <c r="F508" s="1">
        <v>4</v>
      </c>
      <c r="G508" s="1" t="s">
        <v>716</v>
      </c>
    </row>
    <row r="509" spans="1:7" x14ac:dyDescent="0.3">
      <c r="A509" s="1" t="s">
        <v>28</v>
      </c>
      <c r="B509" s="1" t="s">
        <v>304</v>
      </c>
      <c r="C509" s="1" t="s">
        <v>195</v>
      </c>
      <c r="D509" s="1" t="s">
        <v>162</v>
      </c>
      <c r="E509" s="1">
        <v>2</v>
      </c>
      <c r="F509" s="1">
        <v>21</v>
      </c>
      <c r="G509" s="1" t="s">
        <v>689</v>
      </c>
    </row>
    <row r="510" spans="1:7" x14ac:dyDescent="0.3">
      <c r="A510" s="1" t="s">
        <v>28</v>
      </c>
      <c r="B510" s="1" t="s">
        <v>309</v>
      </c>
      <c r="C510" s="1" t="s">
        <v>55</v>
      </c>
      <c r="D510" s="1" t="s">
        <v>207</v>
      </c>
      <c r="E510" s="1">
        <v>1</v>
      </c>
      <c r="F510" s="1">
        <v>27</v>
      </c>
      <c r="G510" s="1" t="s">
        <v>608</v>
      </c>
    </row>
    <row r="511" spans="1:7" x14ac:dyDescent="0.3">
      <c r="A511" s="1" t="s">
        <v>28</v>
      </c>
      <c r="B511" s="1" t="s">
        <v>309</v>
      </c>
      <c r="C511" s="1" t="s">
        <v>195</v>
      </c>
      <c r="D511" s="1" t="s">
        <v>150</v>
      </c>
      <c r="E511" s="1">
        <v>2</v>
      </c>
      <c r="F511" s="1">
        <v>7</v>
      </c>
      <c r="G511" s="1" t="s">
        <v>717</v>
      </c>
    </row>
    <row r="512" spans="1:7" x14ac:dyDescent="0.3">
      <c r="A512" s="1" t="s">
        <v>28</v>
      </c>
      <c r="B512" s="1" t="s">
        <v>312</v>
      </c>
      <c r="C512" s="1" t="s">
        <v>195</v>
      </c>
      <c r="D512" s="1" t="s">
        <v>55</v>
      </c>
      <c r="E512" s="1">
        <v>2</v>
      </c>
      <c r="F512" s="1">
        <v>1</v>
      </c>
      <c r="G512" s="1" t="s">
        <v>271</v>
      </c>
    </row>
  </sheetData>
  <mergeCells count="2">
    <mergeCell ref="A1:G1"/>
    <mergeCell ref="A2:G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89B7-84DD-4538-8C57-5447878C0157}">
  <dimension ref="A1:M516"/>
  <sheetViews>
    <sheetView topLeftCell="A23" zoomScale="80" zoomScaleNormal="80" workbookViewId="0">
      <selection activeCell="L18" sqref="L18"/>
    </sheetView>
  </sheetViews>
  <sheetFormatPr defaultRowHeight="14.4" x14ac:dyDescent="0.3"/>
  <cols>
    <col min="1" max="1" width="18.5546875" style="1" customWidth="1"/>
    <col min="2" max="2" width="25.6640625" style="1" customWidth="1"/>
    <col min="3" max="3" width="34.21875" style="1" customWidth="1"/>
    <col min="4" max="4" width="14.109375" style="1" customWidth="1"/>
    <col min="5" max="5" width="23.21875" style="1" customWidth="1"/>
    <col min="6" max="6" width="21.88671875" style="1" customWidth="1"/>
    <col min="7" max="7" width="19.6640625" style="1" customWidth="1"/>
    <col min="8" max="8" width="19.5546875" style="1" customWidth="1"/>
    <col min="9" max="9" width="28" style="1" customWidth="1"/>
    <col min="10" max="10" width="8.88671875" style="1"/>
    <col min="11" max="11" width="26.109375" style="1" customWidth="1"/>
    <col min="12" max="12" width="10.88671875" style="1" customWidth="1"/>
    <col min="13" max="16384" width="8.88671875" style="1"/>
  </cols>
  <sheetData>
    <row r="1" spans="1:13" ht="31.8" thickBot="1" x14ac:dyDescent="0.65">
      <c r="A1" s="56" t="s">
        <v>718</v>
      </c>
      <c r="B1" s="56"/>
      <c r="C1" s="56"/>
      <c r="D1" s="56"/>
      <c r="E1" s="56"/>
      <c r="F1" s="56"/>
      <c r="G1" s="56"/>
      <c r="H1" s="56"/>
      <c r="I1" s="56"/>
      <c r="J1" s="50"/>
      <c r="K1" s="50"/>
      <c r="L1" s="50"/>
      <c r="M1" s="50"/>
    </row>
    <row r="2" spans="1:13" x14ac:dyDescent="0.3">
      <c r="A2" s="59" t="s">
        <v>719</v>
      </c>
      <c r="B2" s="59"/>
      <c r="C2" s="59"/>
      <c r="D2" s="59"/>
      <c r="E2" s="59"/>
      <c r="F2" s="59"/>
      <c r="G2" s="59"/>
      <c r="H2" s="59"/>
      <c r="I2" s="59"/>
      <c r="J2" s="8"/>
      <c r="K2" s="8"/>
      <c r="L2" s="8"/>
      <c r="M2" s="8"/>
    </row>
    <row r="4" spans="1:13" ht="15.6" x14ac:dyDescent="0.3">
      <c r="A4" s="19" t="s">
        <v>18</v>
      </c>
      <c r="B4" s="20" t="s">
        <v>314</v>
      </c>
      <c r="C4" s="20" t="s">
        <v>720</v>
      </c>
      <c r="D4" s="20" t="s">
        <v>40</v>
      </c>
      <c r="E4" s="20" t="s">
        <v>43</v>
      </c>
      <c r="F4" s="20" t="s">
        <v>721</v>
      </c>
      <c r="G4" s="20" t="s">
        <v>722</v>
      </c>
      <c r="H4" s="20" t="s">
        <v>723</v>
      </c>
      <c r="I4" s="21" t="s">
        <v>724</v>
      </c>
      <c r="K4" s="45" t="s">
        <v>726</v>
      </c>
    </row>
    <row r="5" spans="1:13" x14ac:dyDescent="0.3">
      <c r="A5" s="17" t="str">
        <f>'Raw Data'!A5</f>
        <v>Australian Open</v>
      </c>
      <c r="B5" s="4" t="str">
        <f>'Raw Data'!B5</f>
        <v>Jannik Sinner</v>
      </c>
      <c r="C5" s="4">
        <f>'Raw Data'!C5</f>
        <v>1</v>
      </c>
      <c r="D5" s="4">
        <f>'Raw Data'!D5</f>
        <v>1</v>
      </c>
      <c r="E5" s="4" t="str">
        <f>'Raw Data'!J5</f>
        <v>Final</v>
      </c>
      <c r="F5" s="4">
        <f>'Raw Data'!K5</f>
        <v>7</v>
      </c>
      <c r="G5" s="4" t="str">
        <f>'Raw Data'!E5</f>
        <v xml:space="preserve">Final </v>
      </c>
      <c r="H5" s="4">
        <f>'Raw Data'!F5</f>
        <v>8</v>
      </c>
      <c r="I5" s="18">
        <f>'Raw Data'!L5</f>
        <v>1</v>
      </c>
      <c r="K5" s="1" t="s">
        <v>725</v>
      </c>
      <c r="L5" s="1">
        <f>AVERAGE(ExpectedActual[Expected Score])</f>
        <v>1.94140625</v>
      </c>
    </row>
    <row r="6" spans="1:13" x14ac:dyDescent="0.3">
      <c r="A6" s="17" t="str">
        <f>'Raw Data'!A6</f>
        <v>Australian Open</v>
      </c>
      <c r="B6" s="4" t="str">
        <f>'Raw Data'!B6</f>
        <v>Alexander Zverev</v>
      </c>
      <c r="C6" s="4">
        <f>'Raw Data'!C6</f>
        <v>2</v>
      </c>
      <c r="D6" s="4">
        <f>'Raw Data'!D6</f>
        <v>2</v>
      </c>
      <c r="E6" s="4" t="str">
        <f>'Raw Data'!J6</f>
        <v>Final</v>
      </c>
      <c r="F6" s="4">
        <f>'Raw Data'!K6</f>
        <v>7</v>
      </c>
      <c r="G6" s="4" t="str">
        <f>'Raw Data'!E6</f>
        <v xml:space="preserve">Final </v>
      </c>
      <c r="H6" s="4">
        <f>'Raw Data'!F6</f>
        <v>7</v>
      </c>
      <c r="I6" s="18">
        <f>'Raw Data'!L6</f>
        <v>0</v>
      </c>
      <c r="K6" s="1" t="s">
        <v>727</v>
      </c>
      <c r="L6" s="1">
        <f>AVERAGE(ExpectedActual[Actual Score])</f>
        <v>1.9921875</v>
      </c>
    </row>
    <row r="7" spans="1:13" x14ac:dyDescent="0.3">
      <c r="A7" s="17" t="str">
        <f>'Raw Data'!A7</f>
        <v>Australian Open</v>
      </c>
      <c r="B7" s="4" t="str">
        <f>'Raw Data'!B7</f>
        <v>Nicolas Jarry</v>
      </c>
      <c r="C7" s="4">
        <f>'Raw Data'!C7</f>
        <v>34</v>
      </c>
      <c r="D7" s="4">
        <f>'Raw Data'!D7</f>
        <v>0</v>
      </c>
      <c r="E7" s="4" t="str">
        <f>'Raw Data'!J7</f>
        <v>R64</v>
      </c>
      <c r="F7" s="4">
        <f>'Raw Data'!K7</f>
        <v>2</v>
      </c>
      <c r="G7" s="4" t="str">
        <f>'Raw Data'!E7</f>
        <v>R128</v>
      </c>
      <c r="H7" s="4">
        <f>'Raw Data'!F7</f>
        <v>1</v>
      </c>
      <c r="I7" s="18">
        <f>'Raw Data'!L7</f>
        <v>-1</v>
      </c>
      <c r="K7" s="1" t="s">
        <v>728</v>
      </c>
      <c r="L7" s="1">
        <f>AVERAGE(ExpectedActual[[Performance Deviation ]])</f>
        <v>4.6875E-2</v>
      </c>
    </row>
    <row r="8" spans="1:13" x14ac:dyDescent="0.3">
      <c r="A8" s="17" t="str">
        <f>'Raw Data'!A8</f>
        <v>Australian Open</v>
      </c>
      <c r="B8" s="4" t="str">
        <f>'Raw Data'!B8</f>
        <v>Tristan Schoolkate</v>
      </c>
      <c r="C8" s="4">
        <f>'Raw Data'!C8</f>
        <v>173</v>
      </c>
      <c r="D8" s="4">
        <f>'Raw Data'!D8</f>
        <v>0</v>
      </c>
      <c r="E8" s="4" t="str">
        <f>'Raw Data'!J8</f>
        <v>R128</v>
      </c>
      <c r="F8" s="4">
        <f>'Raw Data'!K8</f>
        <v>1</v>
      </c>
      <c r="G8" s="4" t="str">
        <f>'Raw Data'!E8</f>
        <v>R64</v>
      </c>
      <c r="H8" s="4">
        <f>'Raw Data'!F8</f>
        <v>2</v>
      </c>
      <c r="I8" s="18">
        <f>'Raw Data'!L8</f>
        <v>1</v>
      </c>
      <c r="K8" s="1" t="s">
        <v>729</v>
      </c>
      <c r="L8" s="1">
        <f>COUNTIF(I5:I516,"&gt;0")</f>
        <v>163</v>
      </c>
    </row>
    <row r="9" spans="1:13" x14ac:dyDescent="0.3">
      <c r="A9" s="17" t="str">
        <f>'Raw Data'!A9</f>
        <v>Australian Open</v>
      </c>
      <c r="B9" s="4" t="str">
        <f>'Raw Data'!B9</f>
        <v>Taro Daniel</v>
      </c>
      <c r="C9" s="4">
        <f>'Raw Data'!C9</f>
        <v>84</v>
      </c>
      <c r="D9" s="4">
        <f>'Raw Data'!D9</f>
        <v>0</v>
      </c>
      <c r="E9" s="4" t="str">
        <f>'Raw Data'!J9</f>
        <v>R128</v>
      </c>
      <c r="F9" s="4">
        <f>'Raw Data'!K9</f>
        <v>1</v>
      </c>
      <c r="G9" s="4" t="str">
        <f>'Raw Data'!E9</f>
        <v>R128</v>
      </c>
      <c r="H9" s="4">
        <f>'Raw Data'!F9</f>
        <v>1</v>
      </c>
      <c r="I9" s="18">
        <f>'Raw Data'!L9</f>
        <v>0</v>
      </c>
      <c r="K9" s="1" t="s">
        <v>730</v>
      </c>
      <c r="L9" s="1">
        <f>COUNTIF(I5:I516,"=0")</f>
        <v>215</v>
      </c>
    </row>
    <row r="10" spans="1:13" x14ac:dyDescent="0.3">
      <c r="A10" s="17" t="str">
        <f>'Raw Data'!A10</f>
        <v>Australian Open</v>
      </c>
      <c r="B10" s="4" t="str">
        <f>'Raw Data'!B10</f>
        <v>Marcos Giron</v>
      </c>
      <c r="C10" s="4">
        <f>'Raw Data'!C10</f>
        <v>45</v>
      </c>
      <c r="D10" s="4">
        <f>'Raw Data'!D10</f>
        <v>0</v>
      </c>
      <c r="E10" s="4" t="str">
        <f>'Raw Data'!J10</f>
        <v>R64</v>
      </c>
      <c r="F10" s="4">
        <f>'Raw Data'!K10</f>
        <v>2</v>
      </c>
      <c r="G10" s="4" t="str">
        <f>'Raw Data'!E10</f>
        <v>R32</v>
      </c>
      <c r="H10" s="4">
        <f>'Raw Data'!F10</f>
        <v>3</v>
      </c>
      <c r="I10" s="18">
        <f>'Raw Data'!L10</f>
        <v>1</v>
      </c>
      <c r="K10" s="1" t="s">
        <v>731</v>
      </c>
      <c r="L10" s="1">
        <f>COUNTIF(I5:I516,"&lt;0")</f>
        <v>134</v>
      </c>
    </row>
    <row r="11" spans="1:13" x14ac:dyDescent="0.3">
      <c r="A11" s="17" t="str">
        <f>'Raw Data'!A11</f>
        <v>Australian Open</v>
      </c>
      <c r="B11" s="4" t="str">
        <f>'Raw Data'!B11</f>
        <v>Yannick Hanfmann</v>
      </c>
      <c r="C11" s="4">
        <f>'Raw Data'!C11</f>
        <v>98</v>
      </c>
      <c r="D11" s="4">
        <f>'Raw Data'!D11</f>
        <v>0</v>
      </c>
      <c r="E11" s="4" t="str">
        <f>'Raw Data'!J11</f>
        <v>R128</v>
      </c>
      <c r="F11" s="4">
        <f>'Raw Data'!K11</f>
        <v>1</v>
      </c>
      <c r="G11" s="4" t="str">
        <f>'Raw Data'!E11</f>
        <v>R128</v>
      </c>
      <c r="H11" s="4">
        <f>'Raw Data'!F11</f>
        <v>1</v>
      </c>
      <c r="I11" s="18">
        <f>'Raw Data'!L11</f>
        <v>0</v>
      </c>
    </row>
    <row r="12" spans="1:13" x14ac:dyDescent="0.3">
      <c r="A12" s="17" t="str">
        <f>'Raw Data'!A12</f>
        <v>Australian Open</v>
      </c>
      <c r="B12" s="4" t="str">
        <f>'Raw Data'!B12</f>
        <v>Tomas Martin Etcheverry</v>
      </c>
      <c r="C12" s="4">
        <f>'Raw Data'!C12</f>
        <v>39</v>
      </c>
      <c r="D12" s="4">
        <f>'Raw Data'!D12</f>
        <v>0</v>
      </c>
      <c r="E12" s="4" t="str">
        <f>'Raw Data'!J12</f>
        <v>R64</v>
      </c>
      <c r="F12" s="4">
        <f>'Raw Data'!K12</f>
        <v>2</v>
      </c>
      <c r="G12" s="4" t="str">
        <f>'Raw Data'!E12</f>
        <v>R64</v>
      </c>
      <c r="H12" s="4">
        <f>'Raw Data'!F12</f>
        <v>2</v>
      </c>
      <c r="I12" s="18">
        <f>'Raw Data'!L12</f>
        <v>0</v>
      </c>
    </row>
    <row r="13" spans="1:13" x14ac:dyDescent="0.3">
      <c r="A13" s="17" t="str">
        <f>'Raw Data'!A13</f>
        <v>Australian Open</v>
      </c>
      <c r="B13" s="4" t="str">
        <f>'Raw Data'!B13</f>
        <v>Flavio Cobolli</v>
      </c>
      <c r="C13" s="4">
        <f>'Raw Data'!C13</f>
        <v>32</v>
      </c>
      <c r="D13" s="4">
        <f>'Raw Data'!D13</f>
        <v>32</v>
      </c>
      <c r="E13" s="4" t="str">
        <f>'Raw Data'!J13</f>
        <v>R32</v>
      </c>
      <c r="F13" s="4">
        <f>'Raw Data'!K13</f>
        <v>3</v>
      </c>
      <c r="G13" s="4" t="str">
        <f>'Raw Data'!E13</f>
        <v>R128</v>
      </c>
      <c r="H13" s="4">
        <f>'Raw Data'!F13</f>
        <v>1</v>
      </c>
      <c r="I13" s="18">
        <f>'Raw Data'!L13</f>
        <v>-2</v>
      </c>
    </row>
    <row r="14" spans="1:13" x14ac:dyDescent="0.3">
      <c r="A14" s="17" t="str">
        <f>'Raw Data'!A14</f>
        <v>Australian Open</v>
      </c>
      <c r="B14" s="4" t="str">
        <f>'Raw Data'!B14</f>
        <v>Stan Wawrinka</v>
      </c>
      <c r="C14" s="4">
        <f>'Raw Data'!C14</f>
        <v>158</v>
      </c>
      <c r="D14" s="4">
        <f>'Raw Data'!D14</f>
        <v>0</v>
      </c>
      <c r="E14" s="4" t="str">
        <f>'Raw Data'!J14</f>
        <v>R128</v>
      </c>
      <c r="F14" s="4">
        <f>'Raw Data'!K14</f>
        <v>1</v>
      </c>
      <c r="G14" s="4" t="str">
        <f>'Raw Data'!E14</f>
        <v>R128</v>
      </c>
      <c r="H14" s="4">
        <f>'Raw Data'!F14</f>
        <v>1</v>
      </c>
      <c r="I14" s="18">
        <f>'Raw Data'!L14</f>
        <v>0</v>
      </c>
    </row>
    <row r="15" spans="1:13" x14ac:dyDescent="0.3">
      <c r="A15" s="17" t="str">
        <f>'Raw Data'!A15</f>
        <v>Australian Open</v>
      </c>
      <c r="B15" s="4" t="str">
        <f>'Raw Data'!B15</f>
        <v>Hubert Hurkacz</v>
      </c>
      <c r="C15" s="4">
        <f>'Raw Data'!C15</f>
        <v>18</v>
      </c>
      <c r="D15" s="4">
        <f>'Raw Data'!D15</f>
        <v>18</v>
      </c>
      <c r="E15" s="4" t="str">
        <f>'Raw Data'!J15</f>
        <v>R32</v>
      </c>
      <c r="F15" s="4">
        <f>'Raw Data'!K15</f>
        <v>3</v>
      </c>
      <c r="G15" s="4" t="str">
        <f>'Raw Data'!E15</f>
        <v>R64</v>
      </c>
      <c r="H15" s="4">
        <f>'Raw Data'!F15</f>
        <v>2</v>
      </c>
      <c r="I15" s="18">
        <f>'Raw Data'!L15</f>
        <v>-1</v>
      </c>
    </row>
    <row r="16" spans="1:13" x14ac:dyDescent="0.3">
      <c r="A16" s="17" t="str">
        <f>'Raw Data'!A16</f>
        <v>Australian Open</v>
      </c>
      <c r="B16" s="4" t="str">
        <f>'Raw Data'!B16</f>
        <v>Tallon Griekspoor</v>
      </c>
      <c r="C16" s="4">
        <f>'Raw Data'!C16</f>
        <v>40</v>
      </c>
      <c r="D16" s="4">
        <f>'Raw Data'!D16</f>
        <v>0</v>
      </c>
      <c r="E16" s="4" t="str">
        <f>'Raw Data'!J16</f>
        <v>R64</v>
      </c>
      <c r="F16" s="4">
        <f>'Raw Data'!K16</f>
        <v>2</v>
      </c>
      <c r="G16" s="4" t="str">
        <f>'Raw Data'!E16</f>
        <v>R128</v>
      </c>
      <c r="H16" s="4">
        <f>'Raw Data'!F16</f>
        <v>1</v>
      </c>
      <c r="I16" s="18">
        <f>'Raw Data'!L16</f>
        <v>-1</v>
      </c>
    </row>
    <row r="17" spans="1:9" x14ac:dyDescent="0.3">
      <c r="A17" s="17" t="str">
        <f>'Raw Data'!A17</f>
        <v>Australian Open</v>
      </c>
      <c r="B17" s="4" t="str">
        <f>'Raw Data'!B17</f>
        <v>Dusan Lajovic</v>
      </c>
      <c r="C17" s="4">
        <f>'Raw Data'!C17</f>
        <v>75</v>
      </c>
      <c r="D17" s="4">
        <f>'Raw Data'!D17</f>
        <v>0</v>
      </c>
      <c r="E17" s="4" t="str">
        <f>'Raw Data'!J17</f>
        <v>R128</v>
      </c>
      <c r="F17" s="4">
        <f>'Raw Data'!K17</f>
        <v>1</v>
      </c>
      <c r="G17" s="4" t="str">
        <f>'Raw Data'!E17</f>
        <v>R128</v>
      </c>
      <c r="H17" s="4">
        <f>'Raw Data'!F17</f>
        <v>1</v>
      </c>
      <c r="I17" s="18">
        <f>'Raw Data'!L17</f>
        <v>0</v>
      </c>
    </row>
    <row r="18" spans="1:9" x14ac:dyDescent="0.3">
      <c r="A18" s="17" t="str">
        <f>'Raw Data'!A18</f>
        <v>Australian Open</v>
      </c>
      <c r="B18" s="4" t="str">
        <f>'Raw Data'!B18</f>
        <v>Miomir Kecmanovic</v>
      </c>
      <c r="C18" s="4">
        <f>'Raw Data'!C18</f>
        <v>55</v>
      </c>
      <c r="D18" s="4">
        <f>'Raw Data'!D18</f>
        <v>0</v>
      </c>
      <c r="E18" s="4" t="str">
        <f>'Raw Data'!J18</f>
        <v>R64</v>
      </c>
      <c r="F18" s="4">
        <f>'Raw Data'!K18</f>
        <v>2</v>
      </c>
      <c r="G18" s="4" t="str">
        <f>'Raw Data'!E18</f>
        <v>R32</v>
      </c>
      <c r="H18" s="4">
        <f>'Raw Data'!F18</f>
        <v>3</v>
      </c>
      <c r="I18" s="18">
        <f>'Raw Data'!L18</f>
        <v>1</v>
      </c>
    </row>
    <row r="19" spans="1:9" x14ac:dyDescent="0.3">
      <c r="A19" s="17" t="str">
        <f>'Raw Data'!A19</f>
        <v>Australian Open</v>
      </c>
      <c r="B19" s="4" t="str">
        <f>'Raw Data'!B19</f>
        <v>Matteo Berrettini</v>
      </c>
      <c r="C19" s="4">
        <f>'Raw Data'!C19</f>
        <v>35</v>
      </c>
      <c r="D19" s="4">
        <f>'Raw Data'!D19</f>
        <v>0</v>
      </c>
      <c r="E19" s="4" t="str">
        <f>'Raw Data'!J19</f>
        <v>R64</v>
      </c>
      <c r="F19" s="4">
        <f>'Raw Data'!K19</f>
        <v>2</v>
      </c>
      <c r="G19" s="4" t="str">
        <f>'Raw Data'!E19</f>
        <v>R64</v>
      </c>
      <c r="H19" s="4">
        <f>'Raw Data'!F19</f>
        <v>2</v>
      </c>
      <c r="I19" s="18">
        <f>'Raw Data'!L19</f>
        <v>0</v>
      </c>
    </row>
    <row r="20" spans="1:9" x14ac:dyDescent="0.3">
      <c r="A20" s="17" t="str">
        <f>'Raw Data'!A20</f>
        <v>Australian Open</v>
      </c>
      <c r="B20" s="4" t="str">
        <f>'Raw Data'!B20</f>
        <v>Gael Monfils</v>
      </c>
      <c r="C20" s="4">
        <f>'Raw Data'!C20</f>
        <v>52</v>
      </c>
      <c r="D20" s="4">
        <f>'Raw Data'!D20</f>
        <v>0</v>
      </c>
      <c r="E20" s="4" t="str">
        <f>'Raw Data'!J20</f>
        <v>R64</v>
      </c>
      <c r="F20" s="4">
        <f>'Raw Data'!K20</f>
        <v>2</v>
      </c>
      <c r="G20" s="4" t="str">
        <f>'Raw Data'!E20</f>
        <v>R16</v>
      </c>
      <c r="H20" s="4">
        <f>'Raw Data'!F20</f>
        <v>4</v>
      </c>
      <c r="I20" s="18">
        <f>'Raw Data'!L20</f>
        <v>2</v>
      </c>
    </row>
    <row r="21" spans="1:9" x14ac:dyDescent="0.3">
      <c r="A21" s="17" t="str">
        <f>'Raw Data'!A21</f>
        <v>Australian Open</v>
      </c>
      <c r="B21" s="4" t="str">
        <f>'Raw Data'!B21</f>
        <v>Cameron Norrie</v>
      </c>
      <c r="C21" s="4">
        <f>'Raw Data'!C21</f>
        <v>48</v>
      </c>
      <c r="D21" s="4">
        <f>'Raw Data'!D21</f>
        <v>0</v>
      </c>
      <c r="E21" s="4" t="str">
        <f>'Raw Data'!J21</f>
        <v>R64</v>
      </c>
      <c r="F21" s="4">
        <f>'Raw Data'!K21</f>
        <v>2</v>
      </c>
      <c r="G21" s="4" t="str">
        <f>'Raw Data'!E21</f>
        <v>R128</v>
      </c>
      <c r="H21" s="4">
        <f>'Raw Data'!F21</f>
        <v>1</v>
      </c>
      <c r="I21" s="18">
        <f>'Raw Data'!L21</f>
        <v>-1</v>
      </c>
    </row>
    <row r="22" spans="1:9" x14ac:dyDescent="0.3">
      <c r="A22" s="17" t="str">
        <f>'Raw Data'!A22</f>
        <v>Australian Open</v>
      </c>
      <c r="B22" s="4" t="str">
        <f>'Raw Data'!B22</f>
        <v>Holger Rune</v>
      </c>
      <c r="C22" s="4">
        <f>'Raw Data'!C22</f>
        <v>13</v>
      </c>
      <c r="D22" s="4">
        <f>'Raw Data'!D22</f>
        <v>13</v>
      </c>
      <c r="E22" s="4" t="str">
        <f>'Raw Data'!J22</f>
        <v>R16</v>
      </c>
      <c r="F22" s="4">
        <f>'Raw Data'!K22</f>
        <v>4</v>
      </c>
      <c r="G22" s="4" t="str">
        <f>'Raw Data'!E22</f>
        <v>R16</v>
      </c>
      <c r="H22" s="4">
        <f>'Raw Data'!F22</f>
        <v>4</v>
      </c>
      <c r="I22" s="18">
        <f>'Raw Data'!L22</f>
        <v>0</v>
      </c>
    </row>
    <row r="23" spans="1:9" x14ac:dyDescent="0.3">
      <c r="A23" s="17" t="str">
        <f>'Raw Data'!A23</f>
        <v>Australian Open</v>
      </c>
      <c r="B23" s="4" t="str">
        <f>'Raw Data'!B23</f>
        <v>Novak Djokovic</v>
      </c>
      <c r="C23" s="4">
        <f>'Raw Data'!C23</f>
        <v>7</v>
      </c>
      <c r="D23" s="4">
        <f>'Raw Data'!D23</f>
        <v>7</v>
      </c>
      <c r="E23" s="4" t="str">
        <f>'Raw Data'!J23</f>
        <v>Quarter-final</v>
      </c>
      <c r="F23" s="4">
        <f>'Raw Data'!K23</f>
        <v>5</v>
      </c>
      <c r="G23" s="4" t="str">
        <f>'Raw Data'!E23</f>
        <v xml:space="preserve">Semi-final </v>
      </c>
      <c r="H23" s="4">
        <f>'Raw Data'!F23</f>
        <v>6</v>
      </c>
      <c r="I23" s="18">
        <f>'Raw Data'!L23</f>
        <v>1</v>
      </c>
    </row>
    <row r="24" spans="1:9" x14ac:dyDescent="0.3">
      <c r="A24" s="17" t="str">
        <f>'Raw Data'!A24</f>
        <v>Australian Open</v>
      </c>
      <c r="B24" s="4" t="str">
        <f>'Raw Data'!B24</f>
        <v>Zhizhen Zhang</v>
      </c>
      <c r="C24" s="4">
        <f>'Raw Data'!C24</f>
        <v>47</v>
      </c>
      <c r="D24" s="4">
        <f>'Raw Data'!D24</f>
        <v>0</v>
      </c>
      <c r="E24" s="4" t="str">
        <f>'Raw Data'!J24</f>
        <v>R64</v>
      </c>
      <c r="F24" s="4">
        <f>'Raw Data'!K24</f>
        <v>2</v>
      </c>
      <c r="G24" s="4" t="str">
        <f>'Raw Data'!E24</f>
        <v>R128</v>
      </c>
      <c r="H24" s="4">
        <f>'Raw Data'!F24</f>
        <v>1</v>
      </c>
      <c r="I24" s="18">
        <f>'Raw Data'!L24</f>
        <v>-1</v>
      </c>
    </row>
    <row r="25" spans="1:9" x14ac:dyDescent="0.3">
      <c r="A25" s="17" t="str">
        <f>'Raw Data'!A25</f>
        <v>Australian Open</v>
      </c>
      <c r="B25" s="4" t="str">
        <f>'Raw Data'!B25</f>
        <v>Alex Michelsen</v>
      </c>
      <c r="C25" s="4">
        <f>'Raw Data'!C25</f>
        <v>41</v>
      </c>
      <c r="D25" s="4">
        <f>'Raw Data'!D25</f>
        <v>0</v>
      </c>
      <c r="E25" s="4" t="str">
        <f>'Raw Data'!J25</f>
        <v>R64</v>
      </c>
      <c r="F25" s="4">
        <f>'Raw Data'!K25</f>
        <v>2</v>
      </c>
      <c r="G25" s="4" t="str">
        <f>'Raw Data'!E25</f>
        <v>R16</v>
      </c>
      <c r="H25" s="4">
        <f>'Raw Data'!F25</f>
        <v>4</v>
      </c>
      <c r="I25" s="18">
        <f>'Raw Data'!L25</f>
        <v>2</v>
      </c>
    </row>
    <row r="26" spans="1:9" x14ac:dyDescent="0.3">
      <c r="A26" s="17" t="str">
        <f>'Raw Data'!A26</f>
        <v>Australian Open</v>
      </c>
      <c r="B26" s="4" t="str">
        <f>'Raw Data'!B26</f>
        <v>Adrian Mannarino</v>
      </c>
      <c r="C26" s="4">
        <f>'Raw Data'!C26</f>
        <v>73</v>
      </c>
      <c r="D26" s="4">
        <f>'Raw Data'!D26</f>
        <v>0</v>
      </c>
      <c r="E26" s="4" t="str">
        <f>'Raw Data'!J26</f>
        <v>R128</v>
      </c>
      <c r="F26" s="4">
        <f>'Raw Data'!K26</f>
        <v>1</v>
      </c>
      <c r="G26" s="4" t="str">
        <f>'Raw Data'!E26</f>
        <v>R128</v>
      </c>
      <c r="H26" s="4">
        <f>'Raw Data'!F26</f>
        <v>1</v>
      </c>
      <c r="I26" s="18">
        <f>'Raw Data'!L26</f>
        <v>0</v>
      </c>
    </row>
    <row r="27" spans="1:9" x14ac:dyDescent="0.3">
      <c r="A27" s="17" t="str">
        <f>'Raw Data'!A27</f>
        <v>Australian Open</v>
      </c>
      <c r="B27" s="4" t="str">
        <f>'Raw Data'!B27</f>
        <v>Stefanos Tsitsipas</v>
      </c>
      <c r="C27" s="4">
        <f>'Raw Data'!C27</f>
        <v>11</v>
      </c>
      <c r="D27" s="4">
        <f>'Raw Data'!D27</f>
        <v>11</v>
      </c>
      <c r="E27" s="4" t="str">
        <f>'Raw Data'!J27</f>
        <v>R16</v>
      </c>
      <c r="F27" s="4">
        <f>'Raw Data'!K27</f>
        <v>4</v>
      </c>
      <c r="G27" s="4" t="str">
        <f>'Raw Data'!E27</f>
        <v>R128</v>
      </c>
      <c r="H27" s="4">
        <f>'Raw Data'!F27</f>
        <v>1</v>
      </c>
      <c r="I27" s="18">
        <f>'Raw Data'!L27</f>
        <v>-3</v>
      </c>
    </row>
    <row r="28" spans="1:9" x14ac:dyDescent="0.3">
      <c r="A28" s="17" t="str">
        <f>'Raw Data'!A28</f>
        <v>Australian Open</v>
      </c>
      <c r="B28" s="4" t="str">
        <f>'Raw Data'!B28</f>
        <v>James Mccabe</v>
      </c>
      <c r="C28" s="4">
        <f>'Raw Data'!C28</f>
        <v>258</v>
      </c>
      <c r="D28" s="4">
        <f>'Raw Data'!D28</f>
        <v>0</v>
      </c>
      <c r="E28" s="4" t="str">
        <f>'Raw Data'!J28</f>
        <v>R128</v>
      </c>
      <c r="F28" s="4">
        <f>'Raw Data'!K28</f>
        <v>1</v>
      </c>
      <c r="G28" s="4" t="str">
        <f>'Raw Data'!E28</f>
        <v>R64</v>
      </c>
      <c r="H28" s="4">
        <f>'Raw Data'!F28</f>
        <v>2</v>
      </c>
      <c r="I28" s="18">
        <f>'Raw Data'!L28</f>
        <v>1</v>
      </c>
    </row>
    <row r="29" spans="1:9" x14ac:dyDescent="0.3">
      <c r="A29" s="17" t="str">
        <f>'Raw Data'!A29</f>
        <v>Australian Open</v>
      </c>
      <c r="B29" s="4" t="str">
        <f>'Raw Data'!B29</f>
        <v>Martin Landaluce</v>
      </c>
      <c r="C29" s="4">
        <f>'Raw Data'!C29</f>
        <v>143</v>
      </c>
      <c r="D29" s="4">
        <f>'Raw Data'!D29</f>
        <v>0</v>
      </c>
      <c r="E29" s="4" t="str">
        <f>'Raw Data'!J29</f>
        <v>R128</v>
      </c>
      <c r="F29" s="4">
        <f>'Raw Data'!K29</f>
        <v>1</v>
      </c>
      <c r="G29" s="4" t="str">
        <f>'Raw Data'!E29</f>
        <v>R128</v>
      </c>
      <c r="H29" s="4">
        <f>'Raw Data'!F29</f>
        <v>1</v>
      </c>
      <c r="I29" s="18">
        <f>'Raw Data'!L29</f>
        <v>0</v>
      </c>
    </row>
    <row r="30" spans="1:9" x14ac:dyDescent="0.3">
      <c r="A30" s="17" t="str">
        <f>'Raw Data'!A30</f>
        <v>Australian Open</v>
      </c>
      <c r="B30" s="4" t="str">
        <f>'Raw Data'!B30</f>
        <v>Roberto Bautista Agut</v>
      </c>
      <c r="C30" s="4">
        <f>'Raw Data'!C30</f>
        <v>51</v>
      </c>
      <c r="D30" s="4">
        <f>'Raw Data'!D30</f>
        <v>0</v>
      </c>
      <c r="E30" s="4" t="str">
        <f>'Raw Data'!J30</f>
        <v>R64</v>
      </c>
      <c r="F30" s="4">
        <f>'Raw Data'!K30</f>
        <v>2</v>
      </c>
      <c r="G30" s="4" t="str">
        <f>'Raw Data'!E30</f>
        <v>R128</v>
      </c>
      <c r="H30" s="4">
        <f>'Raw Data'!F30</f>
        <v>1</v>
      </c>
      <c r="I30" s="18">
        <f>'Raw Data'!L30</f>
        <v>-1</v>
      </c>
    </row>
    <row r="31" spans="1:9" x14ac:dyDescent="0.3">
      <c r="A31" s="17" t="str">
        <f>'Raw Data'!A31</f>
        <v>Australian Open</v>
      </c>
      <c r="B31" s="4" t="str">
        <f>'Raw Data'!B31</f>
        <v>Gabriel Diallo</v>
      </c>
      <c r="C31" s="4">
        <f>'Raw Data'!C31</f>
        <v>87</v>
      </c>
      <c r="D31" s="4">
        <f>'Raw Data'!D31</f>
        <v>0</v>
      </c>
      <c r="E31" s="4" t="str">
        <f>'Raw Data'!J31</f>
        <v>R128</v>
      </c>
      <c r="F31" s="4">
        <f>'Raw Data'!K31</f>
        <v>1</v>
      </c>
      <c r="G31" s="4" t="str">
        <f>'Raw Data'!E31</f>
        <v>R64</v>
      </c>
      <c r="H31" s="4">
        <f>'Raw Data'!F31</f>
        <v>2</v>
      </c>
      <c r="I31" s="18">
        <f>'Raw Data'!L31</f>
        <v>1</v>
      </c>
    </row>
    <row r="32" spans="1:9" x14ac:dyDescent="0.3">
      <c r="A32" s="17" t="str">
        <f>'Raw Data'!A32</f>
        <v>Australian Open</v>
      </c>
      <c r="B32" s="4" t="str">
        <f>'Raw Data'!B32</f>
        <v>Luca Nardi</v>
      </c>
      <c r="C32" s="4">
        <f>'Raw Data'!C32</f>
        <v>90</v>
      </c>
      <c r="D32" s="4">
        <f>'Raw Data'!D32</f>
        <v>0</v>
      </c>
      <c r="E32" s="4" t="str">
        <f>'Raw Data'!J32</f>
        <v>R128</v>
      </c>
      <c r="F32" s="4">
        <f>'Raw Data'!K32</f>
        <v>1</v>
      </c>
      <c r="G32" s="4" t="str">
        <f>'Raw Data'!E32</f>
        <v>R128</v>
      </c>
      <c r="H32" s="4">
        <f>'Raw Data'!F32</f>
        <v>1</v>
      </c>
      <c r="I32" s="18">
        <f>'Raw Data'!L32</f>
        <v>0</v>
      </c>
    </row>
    <row r="33" spans="1:9" x14ac:dyDescent="0.3">
      <c r="A33" s="17" t="str">
        <f>'Raw Data'!A33</f>
        <v>Australian Open</v>
      </c>
      <c r="B33" s="4" t="str">
        <f>'Raw Data'!B33</f>
        <v>Karen Khachanov</v>
      </c>
      <c r="C33" s="4">
        <f>'Raw Data'!C33</f>
        <v>19</v>
      </c>
      <c r="D33" s="4">
        <f>'Raw Data'!D33</f>
        <v>19</v>
      </c>
      <c r="E33" s="4" t="str">
        <f>'Raw Data'!J33</f>
        <v>R32</v>
      </c>
      <c r="F33" s="4">
        <f>'Raw Data'!K33</f>
        <v>3</v>
      </c>
      <c r="G33" s="4" t="str">
        <f>'Raw Data'!E33</f>
        <v>R32</v>
      </c>
      <c r="H33" s="4">
        <f>'Raw Data'!F33</f>
        <v>3</v>
      </c>
      <c r="I33" s="18">
        <f>'Raw Data'!L33</f>
        <v>0</v>
      </c>
    </row>
    <row r="34" spans="1:9" x14ac:dyDescent="0.3">
      <c r="A34" s="17" t="str">
        <f>'Raw Data'!A34</f>
        <v>Australian Open</v>
      </c>
      <c r="B34" s="4" t="str">
        <f>'Raw Data'!B34</f>
        <v>Federico Coria</v>
      </c>
      <c r="C34" s="4">
        <f>'Raw Data'!C34</f>
        <v>97</v>
      </c>
      <c r="D34" s="4">
        <f>'Raw Data'!D34</f>
        <v>0</v>
      </c>
      <c r="E34" s="4" t="str">
        <f>'Raw Data'!J34</f>
        <v>R128</v>
      </c>
      <c r="F34" s="4">
        <f>'Raw Data'!K34</f>
        <v>1</v>
      </c>
      <c r="G34" s="4" t="str">
        <f>'Raw Data'!E34</f>
        <v>R128</v>
      </c>
      <c r="H34" s="4">
        <f>'Raw Data'!F34</f>
        <v>1</v>
      </c>
      <c r="I34" s="18">
        <f>'Raw Data'!L34</f>
        <v>0</v>
      </c>
    </row>
    <row r="35" spans="1:9" x14ac:dyDescent="0.3">
      <c r="A35" s="17" t="str">
        <f>'Raw Data'!A35</f>
        <v>Australian Open</v>
      </c>
      <c r="B35" s="4" t="str">
        <f>'Raw Data'!B35</f>
        <v>Francisco Cerundolo</v>
      </c>
      <c r="C35" s="4">
        <f>'Raw Data'!C35</f>
        <v>31</v>
      </c>
      <c r="D35" s="4">
        <f>'Raw Data'!D35</f>
        <v>31</v>
      </c>
      <c r="E35" s="4" t="str">
        <f>'Raw Data'!J35</f>
        <v>R32</v>
      </c>
      <c r="F35" s="4">
        <f>'Raw Data'!K35</f>
        <v>3</v>
      </c>
      <c r="G35" s="4" t="str">
        <f>'Raw Data'!E35</f>
        <v>R32</v>
      </c>
      <c r="H35" s="4">
        <f>'Raw Data'!F35</f>
        <v>3</v>
      </c>
      <c r="I35" s="18">
        <f>'Raw Data'!L35</f>
        <v>0</v>
      </c>
    </row>
    <row r="36" spans="1:9" x14ac:dyDescent="0.3">
      <c r="A36" s="17" t="str">
        <f>'Raw Data'!A36</f>
        <v>Australian Open</v>
      </c>
      <c r="B36" s="4" t="str">
        <f>'Raw Data'!B36</f>
        <v>Alexander Bublik</v>
      </c>
      <c r="C36" s="4">
        <f>'Raw Data'!C36</f>
        <v>33</v>
      </c>
      <c r="D36" s="4">
        <f>'Raw Data'!D36</f>
        <v>0</v>
      </c>
      <c r="E36" s="4" t="str">
        <f>'Raw Data'!J36</f>
        <v>R64</v>
      </c>
      <c r="F36" s="4">
        <f>'Raw Data'!K36</f>
        <v>2</v>
      </c>
      <c r="G36" s="4" t="str">
        <f>'Raw Data'!E36</f>
        <v>R128</v>
      </c>
      <c r="H36" s="4">
        <f>'Raw Data'!F36</f>
        <v>1</v>
      </c>
      <c r="I36" s="18">
        <f>'Raw Data'!L36</f>
        <v>-1</v>
      </c>
    </row>
    <row r="37" spans="1:9" x14ac:dyDescent="0.3">
      <c r="A37" s="17" t="str">
        <f>'Raw Data'!A37</f>
        <v>Australian Open</v>
      </c>
      <c r="B37" s="4" t="str">
        <f>'Raw Data'!B37</f>
        <v>Pablo Carreno Busta</v>
      </c>
      <c r="C37" s="4">
        <f>'Raw Data'!C37</f>
        <v>184</v>
      </c>
      <c r="D37" s="4">
        <f>'Raw Data'!D37</f>
        <v>0</v>
      </c>
      <c r="E37" s="4" t="str">
        <f>'Raw Data'!J37</f>
        <v>R128</v>
      </c>
      <c r="F37" s="4">
        <f>'Raw Data'!K37</f>
        <v>1</v>
      </c>
      <c r="G37" s="4" t="str">
        <f>'Raw Data'!E37</f>
        <v>R64</v>
      </c>
      <c r="H37" s="4">
        <f>'Raw Data'!F37</f>
        <v>2</v>
      </c>
      <c r="I37" s="18">
        <f>'Raw Data'!L37</f>
        <v>1</v>
      </c>
    </row>
    <row r="38" spans="1:9" x14ac:dyDescent="0.3">
      <c r="A38" s="17" t="str">
        <f>'Raw Data'!A38</f>
        <v>Australian Open</v>
      </c>
      <c r="B38" s="4" t="str">
        <f>'Raw Data'!B38</f>
        <v>Facundo Diaz Acosta</v>
      </c>
      <c r="C38" s="4">
        <f>'Raw Data'!C38</f>
        <v>78</v>
      </c>
      <c r="D38" s="4">
        <f>'Raw Data'!D38</f>
        <v>0</v>
      </c>
      <c r="E38" s="4" t="str">
        <f>'Raw Data'!J38</f>
        <v>R128</v>
      </c>
      <c r="F38" s="4">
        <f>'Raw Data'!K38</f>
        <v>1</v>
      </c>
      <c r="G38" s="4" t="str">
        <f>'Raw Data'!E38</f>
        <v>R64</v>
      </c>
      <c r="H38" s="4">
        <f>'Raw Data'!F38</f>
        <v>2</v>
      </c>
      <c r="I38" s="18">
        <f>'Raw Data'!L38</f>
        <v>1</v>
      </c>
    </row>
    <row r="39" spans="1:9" x14ac:dyDescent="0.3">
      <c r="A39" s="17" t="str">
        <f>'Raw Data'!A39</f>
        <v>Australian Open</v>
      </c>
      <c r="B39" s="4" t="str">
        <f>'Raw Data'!B39</f>
        <v>Zizou Bergs</v>
      </c>
      <c r="C39" s="4">
        <f>'Raw Data'!C39</f>
        <v>66</v>
      </c>
      <c r="D39" s="4">
        <f>'Raw Data'!D39</f>
        <v>0</v>
      </c>
      <c r="E39" s="4" t="str">
        <f>'Raw Data'!J39</f>
        <v>R128</v>
      </c>
      <c r="F39" s="4">
        <f>'Raw Data'!K39</f>
        <v>1</v>
      </c>
      <c r="G39" s="4" t="str">
        <f>'Raw Data'!E39</f>
        <v>R128</v>
      </c>
      <c r="H39" s="4">
        <f>'Raw Data'!F39</f>
        <v>1</v>
      </c>
      <c r="I39" s="18">
        <f>'Raw Data'!L39</f>
        <v>0</v>
      </c>
    </row>
    <row r="40" spans="1:9" x14ac:dyDescent="0.3">
      <c r="A40" s="17" t="str">
        <f>'Raw Data'!A40</f>
        <v>Australian Open</v>
      </c>
      <c r="B40" s="4" t="str">
        <f>'Raw Data'!B40</f>
        <v>Tristan Boyer</v>
      </c>
      <c r="C40" s="4">
        <f>'Raw Data'!C40</f>
        <v>134</v>
      </c>
      <c r="D40" s="4">
        <f>'Raw Data'!D40</f>
        <v>0</v>
      </c>
      <c r="E40" s="4" t="str">
        <f>'Raw Data'!J40</f>
        <v>R128</v>
      </c>
      <c r="F40" s="4">
        <f>'Raw Data'!K40</f>
        <v>1</v>
      </c>
      <c r="G40" s="4" t="str">
        <f>'Raw Data'!E40</f>
        <v>R64</v>
      </c>
      <c r="H40" s="4">
        <f>'Raw Data'!F40</f>
        <v>2</v>
      </c>
      <c r="I40" s="18">
        <f>'Raw Data'!L40</f>
        <v>1</v>
      </c>
    </row>
    <row r="41" spans="1:9" x14ac:dyDescent="0.3">
      <c r="A41" s="17" t="str">
        <f>'Raw Data'!A41</f>
        <v>Australian Open</v>
      </c>
      <c r="B41" s="4" t="str">
        <f>'Raw Data'!B41</f>
        <v>Kei Nishikori</v>
      </c>
      <c r="C41" s="4">
        <f>'Raw Data'!C41</f>
        <v>74</v>
      </c>
      <c r="D41" s="4">
        <f>'Raw Data'!D41</f>
        <v>0</v>
      </c>
      <c r="E41" s="4" t="str">
        <f>'Raw Data'!J41</f>
        <v>R128</v>
      </c>
      <c r="F41" s="4">
        <f>'Raw Data'!K41</f>
        <v>1</v>
      </c>
      <c r="G41" s="4" t="str">
        <f>'Raw Data'!E41</f>
        <v>R64</v>
      </c>
      <c r="H41" s="4">
        <f>'Raw Data'!F41</f>
        <v>2</v>
      </c>
      <c r="I41" s="18">
        <f>'Raw Data'!L41</f>
        <v>1</v>
      </c>
    </row>
    <row r="42" spans="1:9" x14ac:dyDescent="0.3">
      <c r="A42" s="17" t="str">
        <f>'Raw Data'!A42</f>
        <v>Australian Open</v>
      </c>
      <c r="B42" s="4" t="str">
        <f>'Raw Data'!B42</f>
        <v>Alex De Minaur</v>
      </c>
      <c r="C42" s="4">
        <f>'Raw Data'!C42</f>
        <v>8</v>
      </c>
      <c r="D42" s="4">
        <f>'Raw Data'!D42</f>
        <v>8</v>
      </c>
      <c r="E42" s="4" t="str">
        <f>'Raw Data'!J42</f>
        <v>Quarter-final</v>
      </c>
      <c r="F42" s="4">
        <f>'Raw Data'!K42</f>
        <v>5</v>
      </c>
      <c r="G42" s="4" t="str">
        <f>'Raw Data'!E42</f>
        <v xml:space="preserve">Quarter-final </v>
      </c>
      <c r="H42" s="4">
        <f>'Raw Data'!F42</f>
        <v>5</v>
      </c>
      <c r="I42" s="18">
        <f>'Raw Data'!L42</f>
        <v>0</v>
      </c>
    </row>
    <row r="43" spans="1:9" x14ac:dyDescent="0.3">
      <c r="A43" s="17" t="str">
        <f>'Raw Data'!A43</f>
        <v>Australian Open</v>
      </c>
      <c r="B43" s="4" t="str">
        <f>'Raw Data'!B43</f>
        <v>Botic Van De Zandschulp</v>
      </c>
      <c r="C43" s="4">
        <f>'Raw Data'!C43</f>
        <v>82</v>
      </c>
      <c r="D43" s="4">
        <f>'Raw Data'!D43</f>
        <v>0</v>
      </c>
      <c r="E43" s="4" t="str">
        <f>'Raw Data'!J43</f>
        <v>R128</v>
      </c>
      <c r="F43" s="4">
        <f>'Raw Data'!K43</f>
        <v>1</v>
      </c>
      <c r="G43" s="4" t="str">
        <f>'Raw Data'!E43</f>
        <v>R128</v>
      </c>
      <c r="H43" s="4">
        <f>'Raw Data'!F43</f>
        <v>1</v>
      </c>
      <c r="I43" s="18">
        <f>'Raw Data'!L43</f>
        <v>0</v>
      </c>
    </row>
    <row r="44" spans="1:9" x14ac:dyDescent="0.3">
      <c r="A44" s="17" t="str">
        <f>'Raw Data'!A44</f>
        <v>Australian Open</v>
      </c>
      <c r="B44" s="4" t="str">
        <f>'Raw Data'!B44</f>
        <v>Jan Lennard Struff</v>
      </c>
      <c r="C44" s="4">
        <f>'Raw Data'!C44</f>
        <v>42</v>
      </c>
      <c r="D44" s="4">
        <f>'Raw Data'!D44</f>
        <v>0</v>
      </c>
      <c r="E44" s="4" t="str">
        <f>'Raw Data'!J44</f>
        <v>R64</v>
      </c>
      <c r="F44" s="4">
        <f>'Raw Data'!K44</f>
        <v>2</v>
      </c>
      <c r="G44" s="4" t="str">
        <f>'Raw Data'!E44</f>
        <v>R128</v>
      </c>
      <c r="H44" s="4">
        <f>'Raw Data'!F44</f>
        <v>1</v>
      </c>
      <c r="I44" s="18">
        <f>'Raw Data'!L44</f>
        <v>-1</v>
      </c>
    </row>
    <row r="45" spans="1:9" x14ac:dyDescent="0.3">
      <c r="A45" s="17" t="str">
        <f>'Raw Data'!A45</f>
        <v>Australian Open</v>
      </c>
      <c r="B45" s="4" t="str">
        <f>'Raw Data'!B45</f>
        <v>Taylor Fritz</v>
      </c>
      <c r="C45" s="4">
        <f>'Raw Data'!C45</f>
        <v>4</v>
      </c>
      <c r="D45" s="4">
        <f>'Raw Data'!D45</f>
        <v>4</v>
      </c>
      <c r="E45" s="4" t="str">
        <f>'Raw Data'!J45</f>
        <v>Semi-final</v>
      </c>
      <c r="F45" s="4">
        <f>'Raw Data'!K45</f>
        <v>6</v>
      </c>
      <c r="G45" s="4" t="str">
        <f>'Raw Data'!E45</f>
        <v>R32</v>
      </c>
      <c r="H45" s="4">
        <f>'Raw Data'!F45</f>
        <v>3</v>
      </c>
      <c r="I45" s="18">
        <f>'Raw Data'!L45</f>
        <v>-3</v>
      </c>
    </row>
    <row r="46" spans="1:9" x14ac:dyDescent="0.3">
      <c r="A46" s="17" t="str">
        <f>'Raw Data'!A46</f>
        <v>Australian Open</v>
      </c>
      <c r="B46" s="4" t="str">
        <f>'Raw Data'!B46</f>
        <v>Jenson Brooksby</v>
      </c>
      <c r="C46" s="4" t="str">
        <f>'Raw Data'!C46</f>
        <v>*</v>
      </c>
      <c r="D46" s="4">
        <f>'Raw Data'!D46</f>
        <v>0</v>
      </c>
      <c r="E46" s="4">
        <f>'Raw Data'!J46</f>
        <v>0</v>
      </c>
      <c r="F46" s="4">
        <f>'Raw Data'!K46</f>
        <v>0</v>
      </c>
      <c r="G46" s="4" t="str">
        <f>'Raw Data'!E46</f>
        <v>R128</v>
      </c>
      <c r="H46" s="4">
        <f>'Raw Data'!F46</f>
        <v>1</v>
      </c>
      <c r="I46" s="18">
        <f>'Raw Data'!L46</f>
        <v>0</v>
      </c>
    </row>
    <row r="47" spans="1:9" x14ac:dyDescent="0.3">
      <c r="A47" s="17" t="str">
        <f>'Raw Data'!A47</f>
        <v>Australian Open</v>
      </c>
      <c r="B47" s="4" t="str">
        <f>'Raw Data'!B47</f>
        <v>David Goffin</v>
      </c>
      <c r="C47" s="4">
        <f>'Raw Data'!C47</f>
        <v>53</v>
      </c>
      <c r="D47" s="4">
        <f>'Raw Data'!D47</f>
        <v>0</v>
      </c>
      <c r="E47" s="4" t="str">
        <f>'Raw Data'!J47</f>
        <v>R64</v>
      </c>
      <c r="F47" s="4">
        <f>'Raw Data'!K47</f>
        <v>2</v>
      </c>
      <c r="G47" s="4" t="str">
        <f>'Raw Data'!E47</f>
        <v>R128</v>
      </c>
      <c r="H47" s="4">
        <f>'Raw Data'!F47</f>
        <v>1</v>
      </c>
      <c r="I47" s="18">
        <f>'Raw Data'!L47</f>
        <v>-1</v>
      </c>
    </row>
    <row r="48" spans="1:9" x14ac:dyDescent="0.3">
      <c r="A48" s="17" t="str">
        <f>'Raw Data'!A48</f>
        <v>Australian Open</v>
      </c>
      <c r="B48" s="4" t="str">
        <f>'Raw Data'!B48</f>
        <v>Cristian Garin</v>
      </c>
      <c r="C48" s="4">
        <f>'Raw Data'!C48</f>
        <v>151</v>
      </c>
      <c r="D48" s="4">
        <f>'Raw Data'!D48</f>
        <v>0</v>
      </c>
      <c r="E48" s="4" t="str">
        <f>'Raw Data'!J48</f>
        <v>R128</v>
      </c>
      <c r="F48" s="4">
        <f>'Raw Data'!K48</f>
        <v>1</v>
      </c>
      <c r="G48" s="4" t="str">
        <f>'Raw Data'!E48</f>
        <v>R64</v>
      </c>
      <c r="H48" s="4">
        <f>'Raw Data'!F48</f>
        <v>2</v>
      </c>
      <c r="I48" s="18">
        <f>'Raw Data'!L48</f>
        <v>1</v>
      </c>
    </row>
    <row r="49" spans="1:9" x14ac:dyDescent="0.3">
      <c r="A49" s="17" t="str">
        <f>'Raw Data'!A49</f>
        <v>Australian Open</v>
      </c>
      <c r="B49" s="4" t="str">
        <f>'Raw Data'!B49</f>
        <v>Borna Coric</v>
      </c>
      <c r="C49" s="4">
        <f>'Raw Data'!C49</f>
        <v>88</v>
      </c>
      <c r="D49" s="4">
        <f>'Raw Data'!D49</f>
        <v>0</v>
      </c>
      <c r="E49" s="4" t="str">
        <f>'Raw Data'!J49</f>
        <v>R128</v>
      </c>
      <c r="F49" s="4">
        <f>'Raw Data'!K49</f>
        <v>1</v>
      </c>
      <c r="G49" s="4" t="str">
        <f>'Raw Data'!E49</f>
        <v>R128</v>
      </c>
      <c r="H49" s="4">
        <f>'Raw Data'!F49</f>
        <v>1</v>
      </c>
      <c r="I49" s="18">
        <f>'Raw Data'!L49</f>
        <v>0</v>
      </c>
    </row>
    <row r="50" spans="1:9" x14ac:dyDescent="0.3">
      <c r="A50" s="17" t="str">
        <f>'Raw Data'!A50</f>
        <v>Australian Open</v>
      </c>
      <c r="B50" s="4" t="str">
        <f>'Raw Data'!B50</f>
        <v>Daniel Altmaier</v>
      </c>
      <c r="C50" s="4">
        <f>'Raw Data'!C50</f>
        <v>93</v>
      </c>
      <c r="D50" s="4">
        <f>'Raw Data'!D50</f>
        <v>0</v>
      </c>
      <c r="E50" s="4" t="str">
        <f>'Raw Data'!J50</f>
        <v>R128</v>
      </c>
      <c r="F50" s="4">
        <f>'Raw Data'!K50</f>
        <v>1</v>
      </c>
      <c r="G50" s="4" t="str">
        <f>'Raw Data'!E50</f>
        <v>R64</v>
      </c>
      <c r="H50" s="4">
        <f>'Raw Data'!F50</f>
        <v>2</v>
      </c>
      <c r="I50" s="18">
        <f>'Raw Data'!L50</f>
        <v>1</v>
      </c>
    </row>
    <row r="51" spans="1:9" x14ac:dyDescent="0.3">
      <c r="A51" s="17" t="str">
        <f>'Raw Data'!A51</f>
        <v>Australian Open</v>
      </c>
      <c r="B51" s="4" t="str">
        <f>'Raw Data'!B51</f>
        <v>Grigor Dimitrov</v>
      </c>
      <c r="C51" s="4">
        <f>'Raw Data'!C51</f>
        <v>10</v>
      </c>
      <c r="D51" s="4">
        <f>'Raw Data'!D51</f>
        <v>10</v>
      </c>
      <c r="E51" s="4" t="str">
        <f>'Raw Data'!J51</f>
        <v>R16</v>
      </c>
      <c r="F51" s="4">
        <f>'Raw Data'!K51</f>
        <v>4</v>
      </c>
      <c r="G51" s="4" t="str">
        <f>'Raw Data'!E51</f>
        <v>R128</v>
      </c>
      <c r="H51" s="4">
        <f>'Raw Data'!F51</f>
        <v>1</v>
      </c>
      <c r="I51" s="18">
        <f>'Raw Data'!L51</f>
        <v>-3</v>
      </c>
    </row>
    <row r="52" spans="1:9" x14ac:dyDescent="0.3">
      <c r="A52" s="17" t="str">
        <f>'Raw Data'!A52</f>
        <v>Australian Open</v>
      </c>
      <c r="B52" s="4" t="str">
        <f>'Raw Data'!B52</f>
        <v>Francisco Comesana</v>
      </c>
      <c r="C52" s="4">
        <f>'Raw Data'!C52</f>
        <v>85</v>
      </c>
      <c r="D52" s="4">
        <f>'Raw Data'!D52</f>
        <v>0</v>
      </c>
      <c r="E52" s="4" t="str">
        <f>'Raw Data'!J52</f>
        <v>R128</v>
      </c>
      <c r="F52" s="4">
        <f>'Raw Data'!K52</f>
        <v>1</v>
      </c>
      <c r="G52" s="4" t="str">
        <f>'Raw Data'!E52</f>
        <v>R128</v>
      </c>
      <c r="H52" s="4">
        <f>'Raw Data'!F52</f>
        <v>1</v>
      </c>
      <c r="I52" s="18">
        <f>'Raw Data'!L52</f>
        <v>0</v>
      </c>
    </row>
    <row r="53" spans="1:9" x14ac:dyDescent="0.3">
      <c r="A53" s="17" t="str">
        <f>'Raw Data'!A53</f>
        <v>Australian Open</v>
      </c>
      <c r="B53" s="4" t="str">
        <f>'Raw Data'!B53</f>
        <v>Giovanni Mpetshi Perricard</v>
      </c>
      <c r="C53" s="4">
        <f>'Raw Data'!C53</f>
        <v>30</v>
      </c>
      <c r="D53" s="4">
        <f>'Raw Data'!D53</f>
        <v>30</v>
      </c>
      <c r="E53" s="4" t="str">
        <f>'Raw Data'!J53</f>
        <v>R32</v>
      </c>
      <c r="F53" s="4">
        <f>'Raw Data'!K53</f>
        <v>3</v>
      </c>
      <c r="G53" s="4" t="str">
        <f>'Raw Data'!E53</f>
        <v>R128</v>
      </c>
      <c r="H53" s="4">
        <f>'Raw Data'!F53</f>
        <v>1</v>
      </c>
      <c r="I53" s="18">
        <f>'Raw Data'!L53</f>
        <v>-2</v>
      </c>
    </row>
    <row r="54" spans="1:9" x14ac:dyDescent="0.3">
      <c r="A54" s="17" t="str">
        <f>'Raw Data'!A54</f>
        <v>Australian Open</v>
      </c>
      <c r="B54" s="4" t="str">
        <f>'Raw Data'!B54</f>
        <v>Damir Dzumhur</v>
      </c>
      <c r="C54" s="4">
        <f>'Raw Data'!C54</f>
        <v>83</v>
      </c>
      <c r="D54" s="4">
        <f>'Raw Data'!D54</f>
        <v>0</v>
      </c>
      <c r="E54" s="4" t="str">
        <f>'Raw Data'!J54</f>
        <v>R128</v>
      </c>
      <c r="F54" s="4">
        <f>'Raw Data'!K54</f>
        <v>1</v>
      </c>
      <c r="G54" s="4" t="str">
        <f>'Raw Data'!E54</f>
        <v>R128</v>
      </c>
      <c r="H54" s="4">
        <f>'Raw Data'!F54</f>
        <v>1</v>
      </c>
      <c r="I54" s="18">
        <f>'Raw Data'!L54</f>
        <v>0</v>
      </c>
    </row>
    <row r="55" spans="1:9" x14ac:dyDescent="0.3">
      <c r="A55" s="17" t="str">
        <f>'Raw Data'!A55</f>
        <v>Australian Open</v>
      </c>
      <c r="B55" s="4" t="str">
        <f>'Raw Data'!B55</f>
        <v>Ben Shelton</v>
      </c>
      <c r="C55" s="4">
        <f>'Raw Data'!C55</f>
        <v>21</v>
      </c>
      <c r="D55" s="4">
        <f>'Raw Data'!D55</f>
        <v>21</v>
      </c>
      <c r="E55" s="4" t="str">
        <f>'Raw Data'!J55</f>
        <v>R32</v>
      </c>
      <c r="F55" s="4">
        <f>'Raw Data'!K55</f>
        <v>3</v>
      </c>
      <c r="G55" s="4" t="str">
        <f>'Raw Data'!E55</f>
        <v xml:space="preserve">Semi-final </v>
      </c>
      <c r="H55" s="4">
        <f>'Raw Data'!F55</f>
        <v>6</v>
      </c>
      <c r="I55" s="18">
        <f>'Raw Data'!L55</f>
        <v>3</v>
      </c>
    </row>
    <row r="56" spans="1:9" x14ac:dyDescent="0.3">
      <c r="A56" s="17" t="str">
        <f>'Raw Data'!A56</f>
        <v>Australian Open</v>
      </c>
      <c r="B56" s="4" t="str">
        <f>'Raw Data'!B56</f>
        <v>James Duckworth</v>
      </c>
      <c r="C56" s="4">
        <f>'Raw Data'!C56</f>
        <v>94</v>
      </c>
      <c r="D56" s="4">
        <f>'Raw Data'!D56</f>
        <v>0</v>
      </c>
      <c r="E56" s="4" t="str">
        <f>'Raw Data'!J56</f>
        <v>R128</v>
      </c>
      <c r="F56" s="4">
        <f>'Raw Data'!K56</f>
        <v>1</v>
      </c>
      <c r="G56" s="4" t="str">
        <f>'Raw Data'!E56</f>
        <v>R64</v>
      </c>
      <c r="H56" s="4">
        <f>'Raw Data'!F56</f>
        <v>2</v>
      </c>
      <c r="I56" s="18">
        <f>'Raw Data'!L56</f>
        <v>1</v>
      </c>
    </row>
    <row r="57" spans="1:9" x14ac:dyDescent="0.3">
      <c r="A57" s="17" t="str">
        <f>'Raw Data'!A57</f>
        <v>Australian Open</v>
      </c>
      <c r="B57" s="4" t="str">
        <f>'Raw Data'!B57</f>
        <v>Brandon Nakashima</v>
      </c>
      <c r="C57" s="4">
        <f>'Raw Data'!C57</f>
        <v>37</v>
      </c>
      <c r="D57" s="4">
        <f>'Raw Data'!D57</f>
        <v>0</v>
      </c>
      <c r="E57" s="4" t="str">
        <f>'Raw Data'!J57</f>
        <v>R64</v>
      </c>
      <c r="F57" s="4">
        <f>'Raw Data'!K57</f>
        <v>2</v>
      </c>
      <c r="G57" s="4" t="str">
        <f>'Raw Data'!E57</f>
        <v>R128</v>
      </c>
      <c r="H57" s="4">
        <f>'Raw Data'!F57</f>
        <v>1</v>
      </c>
      <c r="I57" s="18">
        <f>'Raw Data'!L57</f>
        <v>-1</v>
      </c>
    </row>
    <row r="58" spans="1:9" x14ac:dyDescent="0.3">
      <c r="A58" s="17" t="str">
        <f>'Raw Data'!A58</f>
        <v>Australian Open</v>
      </c>
      <c r="B58" s="4" t="str">
        <f>'Raw Data'!B58</f>
        <v>Kamil Majchrzak</v>
      </c>
      <c r="C58" s="4">
        <f>'Raw Data'!C58</f>
        <v>117</v>
      </c>
      <c r="D58" s="4">
        <f>'Raw Data'!D58</f>
        <v>0</v>
      </c>
      <c r="E58" s="4" t="str">
        <f>'Raw Data'!J58</f>
        <v>R128</v>
      </c>
      <c r="F58" s="4">
        <f>'Raw Data'!K58</f>
        <v>1</v>
      </c>
      <c r="G58" s="4" t="str">
        <f>'Raw Data'!E58</f>
        <v>R128</v>
      </c>
      <c r="H58" s="4">
        <f>'Raw Data'!F58</f>
        <v>1</v>
      </c>
      <c r="I58" s="18">
        <f>'Raw Data'!L58</f>
        <v>0</v>
      </c>
    </row>
    <row r="59" spans="1:9" x14ac:dyDescent="0.3">
      <c r="A59" s="17" t="str">
        <f>'Raw Data'!A59</f>
        <v>Australian Open</v>
      </c>
      <c r="B59" s="4" t="str">
        <f>'Raw Data'!B59</f>
        <v>Nikoloz Basilashvili</v>
      </c>
      <c r="C59" s="4">
        <f>'Raw Data'!C59</f>
        <v>210</v>
      </c>
      <c r="D59" s="4">
        <f>'Raw Data'!D59</f>
        <v>0</v>
      </c>
      <c r="E59" s="4" t="str">
        <f>'Raw Data'!J59</f>
        <v>R128</v>
      </c>
      <c r="F59" s="4">
        <f>'Raw Data'!K59</f>
        <v>1</v>
      </c>
      <c r="G59" s="4" t="str">
        <f>'Raw Data'!E59</f>
        <v>R128</v>
      </c>
      <c r="H59" s="4">
        <f>'Raw Data'!F59</f>
        <v>1</v>
      </c>
      <c r="I59" s="18">
        <f>'Raw Data'!L59</f>
        <v>0</v>
      </c>
    </row>
    <row r="60" spans="1:9" x14ac:dyDescent="0.3">
      <c r="A60" s="17" t="str">
        <f>'Raw Data'!A60</f>
        <v>Australian Open</v>
      </c>
      <c r="B60" s="4" t="str">
        <f>'Raw Data'!B60</f>
        <v>Denis Shapovalov</v>
      </c>
      <c r="C60" s="4">
        <f>'Raw Data'!C60</f>
        <v>58</v>
      </c>
      <c r="D60" s="4">
        <f>'Raw Data'!D60</f>
        <v>0</v>
      </c>
      <c r="E60" s="4" t="str">
        <f>'Raw Data'!J60</f>
        <v>R64</v>
      </c>
      <c r="F60" s="4">
        <f>'Raw Data'!K60</f>
        <v>2</v>
      </c>
      <c r="G60" s="4" t="str">
        <f>'Raw Data'!E60</f>
        <v>R64</v>
      </c>
      <c r="H60" s="4">
        <f>'Raw Data'!F60</f>
        <v>2</v>
      </c>
      <c r="I60" s="18">
        <f>'Raw Data'!L60</f>
        <v>0</v>
      </c>
    </row>
    <row r="61" spans="1:9" x14ac:dyDescent="0.3">
      <c r="A61" s="17" t="str">
        <f>'Raw Data'!A61</f>
        <v>Australian Open</v>
      </c>
      <c r="B61" s="4" t="str">
        <f>'Raw Data'!B61</f>
        <v>Lorenzo Musetti</v>
      </c>
      <c r="C61" s="4">
        <f>'Raw Data'!C61</f>
        <v>16</v>
      </c>
      <c r="D61" s="4">
        <f>'Raw Data'!D61</f>
        <v>16</v>
      </c>
      <c r="E61" s="4" t="str">
        <f>'Raw Data'!J61</f>
        <v>R16</v>
      </c>
      <c r="F61" s="4">
        <f>'Raw Data'!K61</f>
        <v>4</v>
      </c>
      <c r="G61" s="4" t="str">
        <f>'Raw Data'!E61</f>
        <v>R32</v>
      </c>
      <c r="H61" s="4">
        <f>'Raw Data'!F61</f>
        <v>3</v>
      </c>
      <c r="I61" s="18">
        <f>'Raw Data'!L61</f>
        <v>-1</v>
      </c>
    </row>
    <row r="62" spans="1:9" x14ac:dyDescent="0.3">
      <c r="A62" s="17" t="str">
        <f>'Raw Data'!A62</f>
        <v>Australian Open</v>
      </c>
      <c r="B62" s="4" t="str">
        <f>'Raw Data'!B62</f>
        <v>Roberto Carballes Baena</v>
      </c>
      <c r="C62" s="4">
        <f>'Raw Data'!C62</f>
        <v>59</v>
      </c>
      <c r="D62" s="4">
        <f>'Raw Data'!D62</f>
        <v>0</v>
      </c>
      <c r="E62" s="4" t="str">
        <f>'Raw Data'!J62</f>
        <v>R64</v>
      </c>
      <c r="F62" s="4">
        <f>'Raw Data'!K62</f>
        <v>2</v>
      </c>
      <c r="G62" s="4" t="str">
        <f>'Raw Data'!E62</f>
        <v>R32</v>
      </c>
      <c r="H62" s="4">
        <f>'Raw Data'!F62</f>
        <v>3</v>
      </c>
      <c r="I62" s="18">
        <f>'Raw Data'!L62</f>
        <v>1</v>
      </c>
    </row>
    <row r="63" spans="1:9" x14ac:dyDescent="0.3">
      <c r="A63" s="17" t="str">
        <f>'Raw Data'!A63</f>
        <v>Australian Open</v>
      </c>
      <c r="B63" s="4" t="str">
        <f>'Raw Data'!B63</f>
        <v>Matteo Arnaldi</v>
      </c>
      <c r="C63" s="4">
        <f>'Raw Data'!C63</f>
        <v>38</v>
      </c>
      <c r="D63" s="4">
        <f>'Raw Data'!D63</f>
        <v>0</v>
      </c>
      <c r="E63" s="4" t="str">
        <f>'Raw Data'!J63</f>
        <v>R64</v>
      </c>
      <c r="F63" s="4">
        <f>'Raw Data'!K63</f>
        <v>2</v>
      </c>
      <c r="G63" s="4" t="str">
        <f>'Raw Data'!E63</f>
        <v>R128</v>
      </c>
      <c r="H63" s="4">
        <f>'Raw Data'!F63</f>
        <v>1</v>
      </c>
      <c r="I63" s="18">
        <f>'Raw Data'!L63</f>
        <v>-1</v>
      </c>
    </row>
    <row r="64" spans="1:9" x14ac:dyDescent="0.3">
      <c r="A64" s="17" t="str">
        <f>'Raw Data'!A64</f>
        <v>Australian Open</v>
      </c>
      <c r="B64" s="4" t="str">
        <f>'Raw Data'!B64</f>
        <v>Joao Fonseca</v>
      </c>
      <c r="C64" s="4">
        <f>'Raw Data'!C64</f>
        <v>113</v>
      </c>
      <c r="D64" s="4">
        <f>'Raw Data'!D64</f>
        <v>0</v>
      </c>
      <c r="E64" s="4" t="str">
        <f>'Raw Data'!J64</f>
        <v>R128</v>
      </c>
      <c r="F64" s="4">
        <f>'Raw Data'!K64</f>
        <v>1</v>
      </c>
      <c r="G64" s="4" t="str">
        <f>'Raw Data'!E64</f>
        <v>R64</v>
      </c>
      <c r="H64" s="4">
        <f>'Raw Data'!F64</f>
        <v>2</v>
      </c>
      <c r="I64" s="18">
        <f>'Raw Data'!L64</f>
        <v>1</v>
      </c>
    </row>
    <row r="65" spans="1:9" x14ac:dyDescent="0.3">
      <c r="A65" s="17" t="str">
        <f>'Raw Data'!A65</f>
        <v>Australian Open</v>
      </c>
      <c r="B65" s="4" t="str">
        <f>'Raw Data'!B65</f>
        <v>Andrey Rublev</v>
      </c>
      <c r="C65" s="4">
        <f>'Raw Data'!C65</f>
        <v>9</v>
      </c>
      <c r="D65" s="4">
        <f>'Raw Data'!D65</f>
        <v>9</v>
      </c>
      <c r="E65" s="4" t="str">
        <f>'Raw Data'!J65</f>
        <v>R16</v>
      </c>
      <c r="F65" s="4">
        <f>'Raw Data'!K65</f>
        <v>4</v>
      </c>
      <c r="G65" s="4" t="str">
        <f>'Raw Data'!E65</f>
        <v>R128</v>
      </c>
      <c r="H65" s="4">
        <f>'Raw Data'!F65</f>
        <v>1</v>
      </c>
      <c r="I65" s="18">
        <f>'Raw Data'!L65</f>
        <v>-3</v>
      </c>
    </row>
    <row r="66" spans="1:9" x14ac:dyDescent="0.3">
      <c r="A66" s="17" t="str">
        <f>'Raw Data'!A66</f>
        <v>Australian Open</v>
      </c>
      <c r="B66" s="4" t="str">
        <f>'Raw Data'!B66</f>
        <v>Lorenzo Sonego</v>
      </c>
      <c r="C66" s="4">
        <f>'Raw Data'!C66</f>
        <v>54</v>
      </c>
      <c r="D66" s="4">
        <f>'Raw Data'!D66</f>
        <v>0</v>
      </c>
      <c r="E66" s="4" t="str">
        <f>'Raw Data'!J66</f>
        <v>R64</v>
      </c>
      <c r="F66" s="4">
        <f>'Raw Data'!K66</f>
        <v>2</v>
      </c>
      <c r="G66" s="4" t="str">
        <f>'Raw Data'!E66</f>
        <v xml:space="preserve">Quarter-final </v>
      </c>
      <c r="H66" s="4">
        <f>'Raw Data'!F66</f>
        <v>5</v>
      </c>
      <c r="I66" s="18">
        <f>'Raw Data'!L66</f>
        <v>3</v>
      </c>
    </row>
    <row r="67" spans="1:9" x14ac:dyDescent="0.3">
      <c r="A67" s="17" t="str">
        <f>'Raw Data'!A67</f>
        <v>Australian Open</v>
      </c>
      <c r="B67" s="4" t="str">
        <f>'Raw Data'!B67</f>
        <v>Mitchell Krueger</v>
      </c>
      <c r="C67" s="4">
        <f>'Raw Data'!C67</f>
        <v>148</v>
      </c>
      <c r="D67" s="4">
        <f>'Raw Data'!D67</f>
        <v>0</v>
      </c>
      <c r="E67" s="4" t="str">
        <f>'Raw Data'!J67</f>
        <v>R128</v>
      </c>
      <c r="F67" s="4">
        <f>'Raw Data'!K67</f>
        <v>1</v>
      </c>
      <c r="G67" s="4" t="str">
        <f>'Raw Data'!E67</f>
        <v>R64</v>
      </c>
      <c r="H67" s="4">
        <f>'Raw Data'!F67</f>
        <v>2</v>
      </c>
      <c r="I67" s="18">
        <f>'Raw Data'!L67</f>
        <v>1</v>
      </c>
    </row>
    <row r="68" spans="1:9" x14ac:dyDescent="0.3">
      <c r="A68" s="17" t="str">
        <f>'Raw Data'!A68</f>
        <v>Australian Open</v>
      </c>
      <c r="B68" s="4" t="str">
        <f>'Raw Data'!B68</f>
        <v>Fabian Marozsan</v>
      </c>
      <c r="C68" s="4">
        <f>'Raw Data'!C68</f>
        <v>57</v>
      </c>
      <c r="D68" s="4">
        <f>'Raw Data'!D68</f>
        <v>0</v>
      </c>
      <c r="E68" s="4" t="str">
        <f>'Raw Data'!J68</f>
        <v>R64</v>
      </c>
      <c r="F68" s="4">
        <f>'Raw Data'!K68</f>
        <v>2</v>
      </c>
      <c r="G68" s="4" t="str">
        <f>'Raw Data'!E68</f>
        <v>R32</v>
      </c>
      <c r="H68" s="4">
        <f>'Raw Data'!F68</f>
        <v>3</v>
      </c>
      <c r="I68" s="18">
        <f>'Raw Data'!L68</f>
        <v>1</v>
      </c>
    </row>
    <row r="69" spans="1:9" x14ac:dyDescent="0.3">
      <c r="A69" s="17" t="str">
        <f>'Raw Data'!A69</f>
        <v>Australian Open</v>
      </c>
      <c r="B69" s="4" t="str">
        <f>'Raw Data'!B69</f>
        <v>Lucas Pouille</v>
      </c>
      <c r="C69" s="4">
        <f>'Raw Data'!C69</f>
        <v>104</v>
      </c>
      <c r="D69" s="4">
        <f>'Raw Data'!D69</f>
        <v>0</v>
      </c>
      <c r="E69" s="4" t="str">
        <f>'Raw Data'!J69</f>
        <v>R128</v>
      </c>
      <c r="F69" s="4">
        <f>'Raw Data'!K69</f>
        <v>1</v>
      </c>
      <c r="G69" s="4" t="str">
        <f>'Raw Data'!E69</f>
        <v>R128</v>
      </c>
      <c r="H69" s="4">
        <f>'Raw Data'!F69</f>
        <v>1</v>
      </c>
      <c r="I69" s="18">
        <f>'Raw Data'!L69</f>
        <v>0</v>
      </c>
    </row>
    <row r="70" spans="1:9" x14ac:dyDescent="0.3">
      <c r="A70" s="17" t="str">
        <f>'Raw Data'!A70</f>
        <v>Australian Open</v>
      </c>
      <c r="B70" s="4" t="str">
        <f>'Raw Data'!B70</f>
        <v>Thiago Seyboth Wild</v>
      </c>
      <c r="C70" s="4">
        <f>'Raw Data'!C70</f>
        <v>76</v>
      </c>
      <c r="D70" s="4">
        <f>'Raw Data'!D70</f>
        <v>0</v>
      </c>
      <c r="E70" s="4" t="str">
        <f>'Raw Data'!J70</f>
        <v>R128</v>
      </c>
      <c r="F70" s="4">
        <f>'Raw Data'!K70</f>
        <v>1</v>
      </c>
      <c r="G70" s="4" t="str">
        <f>'Raw Data'!E70</f>
        <v>R128</v>
      </c>
      <c r="H70" s="4">
        <f>'Raw Data'!F70</f>
        <v>1</v>
      </c>
      <c r="I70" s="18">
        <f>'Raw Data'!L70</f>
        <v>0</v>
      </c>
    </row>
    <row r="71" spans="1:9" x14ac:dyDescent="0.3">
      <c r="A71" s="17" t="str">
        <f>'Raw Data'!A71</f>
        <v>Australian Open</v>
      </c>
      <c r="B71" s="4" t="str">
        <f>'Raw Data'!B71</f>
        <v>Frances Tiafoe</v>
      </c>
      <c r="C71" s="4">
        <f>'Raw Data'!C71</f>
        <v>17</v>
      </c>
      <c r="D71" s="4">
        <f>'Raw Data'!D71</f>
        <v>17</v>
      </c>
      <c r="E71" s="4" t="str">
        <f>'Raw Data'!J71</f>
        <v>R32</v>
      </c>
      <c r="F71" s="4">
        <f>'Raw Data'!K71</f>
        <v>3</v>
      </c>
      <c r="G71" s="4" t="str">
        <f>'Raw Data'!E71</f>
        <v>R64</v>
      </c>
      <c r="H71" s="4">
        <f>'Raw Data'!F71</f>
        <v>2</v>
      </c>
      <c r="I71" s="18">
        <f>'Raw Data'!L71</f>
        <v>-1</v>
      </c>
    </row>
    <row r="72" spans="1:9" x14ac:dyDescent="0.3">
      <c r="A72" s="17" t="str">
        <f>'Raw Data'!A72</f>
        <v>Australian Open</v>
      </c>
      <c r="B72" s="4" t="str">
        <f>'Raw Data'!B72</f>
        <v>Arthur Rinderknech</v>
      </c>
      <c r="C72" s="4">
        <f>'Raw Data'!C72</f>
        <v>60</v>
      </c>
      <c r="D72" s="4">
        <f>'Raw Data'!D72</f>
        <v>0</v>
      </c>
      <c r="E72" s="4" t="str">
        <f>'Raw Data'!J72</f>
        <v>R64</v>
      </c>
      <c r="F72" s="4">
        <f>'Raw Data'!K72</f>
        <v>2</v>
      </c>
      <c r="G72" s="4" t="str">
        <f>'Raw Data'!E72</f>
        <v>R128</v>
      </c>
      <c r="H72" s="4">
        <f>'Raw Data'!F72</f>
        <v>1</v>
      </c>
      <c r="I72" s="18">
        <f>'Raw Data'!L72</f>
        <v>-1</v>
      </c>
    </row>
    <row r="73" spans="1:9" x14ac:dyDescent="0.3">
      <c r="A73" s="17" t="str">
        <f>'Raw Data'!A73</f>
        <v>Australian Open</v>
      </c>
      <c r="B73" s="4" t="str">
        <f>'Raw Data'!B73</f>
        <v>Thiago Monteiro</v>
      </c>
      <c r="C73" s="4">
        <f>'Raw Data'!C73</f>
        <v>106</v>
      </c>
      <c r="D73" s="4">
        <f>'Raw Data'!D73</f>
        <v>0</v>
      </c>
      <c r="E73" s="4" t="str">
        <f>'Raw Data'!J73</f>
        <v>R128</v>
      </c>
      <c r="F73" s="4">
        <f>'Raw Data'!K73</f>
        <v>1</v>
      </c>
      <c r="G73" s="4" t="str">
        <f>'Raw Data'!E73</f>
        <v>R128</v>
      </c>
      <c r="H73" s="4">
        <f>'Raw Data'!F73</f>
        <v>1</v>
      </c>
      <c r="I73" s="18">
        <f>'Raw Data'!L73</f>
        <v>0</v>
      </c>
    </row>
    <row r="74" spans="1:9" x14ac:dyDescent="0.3">
      <c r="A74" s="17" t="str">
        <f>'Raw Data'!A74</f>
        <v>Australian Open</v>
      </c>
      <c r="B74" s="4" t="str">
        <f>'Raw Data'!B74</f>
        <v>Corentin Moutet</v>
      </c>
      <c r="C74" s="4">
        <f>'Raw Data'!C74</f>
        <v>69</v>
      </c>
      <c r="D74" s="4">
        <f>'Raw Data'!D74</f>
        <v>0</v>
      </c>
      <c r="E74" s="4" t="str">
        <f>'Raw Data'!J74</f>
        <v>R128</v>
      </c>
      <c r="F74" s="4">
        <f>'Raw Data'!K74</f>
        <v>1</v>
      </c>
      <c r="G74" s="4" t="str">
        <f>'Raw Data'!E74</f>
        <v>R32</v>
      </c>
      <c r="H74" s="4">
        <f>'Raw Data'!F74</f>
        <v>3</v>
      </c>
      <c r="I74" s="18">
        <f>'Raw Data'!L74</f>
        <v>2</v>
      </c>
    </row>
    <row r="75" spans="1:9" x14ac:dyDescent="0.3">
      <c r="A75" s="17" t="str">
        <f>'Raw Data'!A75</f>
        <v>Australian Open</v>
      </c>
      <c r="B75" s="4" t="str">
        <f>'Raw Data'!B75</f>
        <v>Alexei Popyrin</v>
      </c>
      <c r="C75" s="4">
        <f>'Raw Data'!C75</f>
        <v>25</v>
      </c>
      <c r="D75" s="4">
        <f>'Raw Data'!D75</f>
        <v>25</v>
      </c>
      <c r="E75" s="4" t="str">
        <f>'Raw Data'!J75</f>
        <v>R32</v>
      </c>
      <c r="F75" s="4">
        <f>'Raw Data'!K75</f>
        <v>3</v>
      </c>
      <c r="G75" s="4" t="str">
        <f>'Raw Data'!E75</f>
        <v>R128</v>
      </c>
      <c r="H75" s="4">
        <f>'Raw Data'!F75</f>
        <v>1</v>
      </c>
      <c r="I75" s="18">
        <f>'Raw Data'!L75</f>
        <v>-2</v>
      </c>
    </row>
    <row r="76" spans="1:9" x14ac:dyDescent="0.3">
      <c r="A76" s="17" t="str">
        <f>'Raw Data'!A76</f>
        <v>Australian Open</v>
      </c>
      <c r="B76" s="4" t="str">
        <f>'Raw Data'!B76</f>
        <v>Christopher Oconnell</v>
      </c>
      <c r="C76" s="4">
        <f>'Raw Data'!C76</f>
        <v>64</v>
      </c>
      <c r="D76" s="4">
        <f>'Raw Data'!D76</f>
        <v>0</v>
      </c>
      <c r="E76" s="4" t="str">
        <f>'Raw Data'!J76</f>
        <v>R64</v>
      </c>
      <c r="F76" s="4">
        <f>'Raw Data'!K76</f>
        <v>2</v>
      </c>
      <c r="G76" s="4" t="str">
        <f>'Raw Data'!E76</f>
        <v>R128</v>
      </c>
      <c r="H76" s="4">
        <f>'Raw Data'!F76</f>
        <v>1</v>
      </c>
      <c r="I76" s="18">
        <f>'Raw Data'!L76</f>
        <v>-1</v>
      </c>
    </row>
    <row r="77" spans="1:9" x14ac:dyDescent="0.3">
      <c r="A77" s="17" t="str">
        <f>'Raw Data'!A77</f>
        <v>Australian Open</v>
      </c>
      <c r="B77" s="4" t="str">
        <f>'Raw Data'!B77</f>
        <v>Rinky Hijikata</v>
      </c>
      <c r="C77" s="4">
        <f>'Raw Data'!C77</f>
        <v>79</v>
      </c>
      <c r="D77" s="4">
        <f>'Raw Data'!D77</f>
        <v>0</v>
      </c>
      <c r="E77" s="4" t="str">
        <f>'Raw Data'!J77</f>
        <v>R128</v>
      </c>
      <c r="F77" s="4">
        <f>'Raw Data'!K77</f>
        <v>1</v>
      </c>
      <c r="G77" s="4" t="str">
        <f>'Raw Data'!E77</f>
        <v>R128</v>
      </c>
      <c r="H77" s="4">
        <f>'Raw Data'!F77</f>
        <v>1</v>
      </c>
      <c r="I77" s="18">
        <f>'Raw Data'!L77</f>
        <v>0</v>
      </c>
    </row>
    <row r="78" spans="1:9" x14ac:dyDescent="0.3">
      <c r="A78" s="17" t="str">
        <f>'Raw Data'!A78</f>
        <v>Australian Open</v>
      </c>
      <c r="B78" s="4" t="str">
        <f>'Raw Data'!B78</f>
        <v>Learner Tien</v>
      </c>
      <c r="C78" s="4">
        <f>'Raw Data'!C78</f>
        <v>120</v>
      </c>
      <c r="D78" s="4">
        <f>'Raw Data'!D78</f>
        <v>0</v>
      </c>
      <c r="E78" s="4" t="str">
        <f>'Raw Data'!J78</f>
        <v>R128</v>
      </c>
      <c r="F78" s="4">
        <f>'Raw Data'!K78</f>
        <v>1</v>
      </c>
      <c r="G78" s="4" t="str">
        <f>'Raw Data'!E78</f>
        <v>R16</v>
      </c>
      <c r="H78" s="4">
        <f>'Raw Data'!F78</f>
        <v>4</v>
      </c>
      <c r="I78" s="18">
        <f>'Raw Data'!L78</f>
        <v>3</v>
      </c>
    </row>
    <row r="79" spans="1:9" x14ac:dyDescent="0.3">
      <c r="A79" s="17" t="str">
        <f>'Raw Data'!A79</f>
        <v>Australian Open</v>
      </c>
      <c r="B79" s="4" t="str">
        <f>'Raw Data'!B79</f>
        <v>Yoshihito Nishioka</v>
      </c>
      <c r="C79" s="4">
        <f>'Raw Data'!C79</f>
        <v>63</v>
      </c>
      <c r="D79" s="4">
        <f>'Raw Data'!D79</f>
        <v>0</v>
      </c>
      <c r="E79" s="4" t="str">
        <f>'Raw Data'!J79</f>
        <v>R64</v>
      </c>
      <c r="F79" s="4">
        <f>'Raw Data'!K79</f>
        <v>2</v>
      </c>
      <c r="G79" s="4" t="str">
        <f>'Raw Data'!E79</f>
        <v>R64</v>
      </c>
      <c r="H79" s="4">
        <f>'Raw Data'!F79</f>
        <v>2</v>
      </c>
      <c r="I79" s="18">
        <f>'Raw Data'!L79</f>
        <v>0</v>
      </c>
    </row>
    <row r="80" spans="1:9" x14ac:dyDescent="0.3">
      <c r="A80" s="17" t="str">
        <f>'Raw Data'!A80</f>
        <v>Australian Open</v>
      </c>
      <c r="B80" s="4" t="str">
        <f>'Raw Data'!B80</f>
        <v>Camilo Ugo Carabelli</v>
      </c>
      <c r="C80" s="4">
        <f>'Raw Data'!C80</f>
        <v>95</v>
      </c>
      <c r="D80" s="4">
        <f>'Raw Data'!D80</f>
        <v>0</v>
      </c>
      <c r="E80" s="4" t="str">
        <f>'Raw Data'!J80</f>
        <v>R128</v>
      </c>
      <c r="F80" s="4">
        <f>'Raw Data'!K80</f>
        <v>1</v>
      </c>
      <c r="G80" s="4" t="str">
        <f>'Raw Data'!E80</f>
        <v>R128</v>
      </c>
      <c r="H80" s="4">
        <f>'Raw Data'!F80</f>
        <v>1</v>
      </c>
      <c r="I80" s="18">
        <f>'Raw Data'!L80</f>
        <v>0</v>
      </c>
    </row>
    <row r="81" spans="1:9" x14ac:dyDescent="0.3">
      <c r="A81" s="17" t="str">
        <f>'Raw Data'!A81</f>
        <v>Australian Open</v>
      </c>
      <c r="B81" s="4" t="str">
        <f>'Raw Data'!B81</f>
        <v>Daniil Medvedev</v>
      </c>
      <c r="C81" s="4">
        <f>'Raw Data'!C81</f>
        <v>5</v>
      </c>
      <c r="D81" s="4">
        <f>'Raw Data'!D81</f>
        <v>5</v>
      </c>
      <c r="E81" s="4" t="str">
        <f>'Raw Data'!J81</f>
        <v>Quarter-final</v>
      </c>
      <c r="F81" s="4">
        <f>'Raw Data'!K81</f>
        <v>5</v>
      </c>
      <c r="G81" s="4" t="str">
        <f>'Raw Data'!E81</f>
        <v>R64</v>
      </c>
      <c r="H81" s="4">
        <f>'Raw Data'!F81</f>
        <v>2</v>
      </c>
      <c r="I81" s="18">
        <f>'Raw Data'!L81</f>
        <v>-3</v>
      </c>
    </row>
    <row r="82" spans="1:9" x14ac:dyDescent="0.3">
      <c r="A82" s="17" t="str">
        <f>'Raw Data'!A82</f>
        <v>Australian Open</v>
      </c>
      <c r="B82" s="4" t="str">
        <f>'Raw Data'!B82</f>
        <v>Kasidit Samrej</v>
      </c>
      <c r="C82" s="4">
        <f>'Raw Data'!C82</f>
        <v>414</v>
      </c>
      <c r="D82" s="4">
        <f>'Raw Data'!D82</f>
        <v>0</v>
      </c>
      <c r="E82" s="4" t="str">
        <f>'Raw Data'!J82</f>
        <v>R128</v>
      </c>
      <c r="F82" s="4">
        <f>'Raw Data'!K82</f>
        <v>1</v>
      </c>
      <c r="G82" s="4" t="str">
        <f>'Raw Data'!E82</f>
        <v>R128</v>
      </c>
      <c r="H82" s="4">
        <f>'Raw Data'!F82</f>
        <v>1</v>
      </c>
      <c r="I82" s="18">
        <f>'Raw Data'!L82</f>
        <v>0</v>
      </c>
    </row>
    <row r="83" spans="1:9" x14ac:dyDescent="0.3">
      <c r="A83" s="17" t="str">
        <f>'Raw Data'!A83</f>
        <v>Australian Open</v>
      </c>
      <c r="B83" s="4" t="str">
        <f>'Raw Data'!B83</f>
        <v>Nishesh Basavareddy</v>
      </c>
      <c r="C83" s="4">
        <f>'Raw Data'!C83</f>
        <v>133</v>
      </c>
      <c r="D83" s="4">
        <f>'Raw Data'!D83</f>
        <v>0</v>
      </c>
      <c r="E83" s="4" t="str">
        <f>'Raw Data'!J83</f>
        <v>R128</v>
      </c>
      <c r="F83" s="4">
        <f>'Raw Data'!K83</f>
        <v>1</v>
      </c>
      <c r="G83" s="4" t="str">
        <f>'Raw Data'!E83</f>
        <v>R128</v>
      </c>
      <c r="H83" s="4">
        <f>'Raw Data'!F83</f>
        <v>1</v>
      </c>
      <c r="I83" s="18">
        <f>'Raw Data'!L83</f>
        <v>0</v>
      </c>
    </row>
    <row r="84" spans="1:9" x14ac:dyDescent="0.3">
      <c r="A84" s="17" t="str">
        <f>'Raw Data'!A84</f>
        <v>Australian Open</v>
      </c>
      <c r="B84" s="4" t="str">
        <f>'Raw Data'!B84</f>
        <v>Thanasi Kokkinakis</v>
      </c>
      <c r="C84" s="4">
        <f>'Raw Data'!C84</f>
        <v>77</v>
      </c>
      <c r="D84" s="4">
        <f>'Raw Data'!D84</f>
        <v>0</v>
      </c>
      <c r="E84" s="4" t="str">
        <f>'Raw Data'!J84</f>
        <v>R128</v>
      </c>
      <c r="F84" s="4">
        <f>'Raw Data'!K84</f>
        <v>1</v>
      </c>
      <c r="G84" s="4" t="str">
        <f>'Raw Data'!E84</f>
        <v>R64</v>
      </c>
      <c r="H84" s="4">
        <f>'Raw Data'!F84</f>
        <v>2</v>
      </c>
      <c r="I84" s="18">
        <f>'Raw Data'!L84</f>
        <v>1</v>
      </c>
    </row>
    <row r="85" spans="1:9" x14ac:dyDescent="0.3">
      <c r="A85" s="17" t="str">
        <f>'Raw Data'!A85</f>
        <v>Australian Open</v>
      </c>
      <c r="B85" s="4" t="str">
        <f>'Raw Data'!B85</f>
        <v>Jaime Faria</v>
      </c>
      <c r="C85" s="4">
        <f>'Raw Data'!C85</f>
        <v>124</v>
      </c>
      <c r="D85" s="4">
        <f>'Raw Data'!D85</f>
        <v>0</v>
      </c>
      <c r="E85" s="4" t="str">
        <f>'Raw Data'!J85</f>
        <v>R128</v>
      </c>
      <c r="F85" s="4">
        <f>'Raw Data'!K85</f>
        <v>1</v>
      </c>
      <c r="G85" s="4" t="str">
        <f>'Raw Data'!E85</f>
        <v>R64</v>
      </c>
      <c r="H85" s="4">
        <f>'Raw Data'!F85</f>
        <v>2</v>
      </c>
      <c r="I85" s="18">
        <f>'Raw Data'!L85</f>
        <v>1</v>
      </c>
    </row>
    <row r="86" spans="1:9" x14ac:dyDescent="0.3">
      <c r="A86" s="17" t="str">
        <f>'Raw Data'!A86</f>
        <v>Australian Open</v>
      </c>
      <c r="B86" s="4" t="str">
        <f>'Raw Data'!B86</f>
        <v>Pavel Kotov</v>
      </c>
      <c r="C86" s="4">
        <f>'Raw Data'!C86</f>
        <v>99</v>
      </c>
      <c r="D86" s="4">
        <f>'Raw Data'!D86</f>
        <v>0</v>
      </c>
      <c r="E86" s="4" t="str">
        <f>'Raw Data'!J86</f>
        <v>R128</v>
      </c>
      <c r="F86" s="4">
        <f>'Raw Data'!K86</f>
        <v>1</v>
      </c>
      <c r="G86" s="4" t="str">
        <f>'Raw Data'!E86</f>
        <v>R128</v>
      </c>
      <c r="H86" s="4">
        <f>'Raw Data'!F86</f>
        <v>1</v>
      </c>
      <c r="I86" s="18">
        <f>'Raw Data'!L86</f>
        <v>0</v>
      </c>
    </row>
    <row r="87" spans="1:9" x14ac:dyDescent="0.3">
      <c r="A87" s="17" t="str">
        <f>'Raw Data'!A87</f>
        <v>Australian Open</v>
      </c>
      <c r="B87" s="4" t="str">
        <f>'Raw Data'!B87</f>
        <v>Reilly Opelka</v>
      </c>
      <c r="C87" s="4">
        <f>'Raw Data'!C87</f>
        <v>171</v>
      </c>
      <c r="D87" s="4">
        <f>'Raw Data'!D87</f>
        <v>0</v>
      </c>
      <c r="E87" s="4" t="str">
        <f>'Raw Data'!J87</f>
        <v>R128</v>
      </c>
      <c r="F87" s="4">
        <f>'Raw Data'!K87</f>
        <v>1</v>
      </c>
      <c r="G87" s="4" t="str">
        <f>'Raw Data'!E87</f>
        <v>R64</v>
      </c>
      <c r="H87" s="4">
        <f>'Raw Data'!F87</f>
        <v>2</v>
      </c>
      <c r="I87" s="18">
        <f>'Raw Data'!L87</f>
        <v>1</v>
      </c>
    </row>
    <row r="88" spans="1:9" x14ac:dyDescent="0.3">
      <c r="A88" s="17" t="str">
        <f>'Raw Data'!A88</f>
        <v>Australian Open</v>
      </c>
      <c r="B88" s="4" t="str">
        <f>'Raw Data'!B88</f>
        <v>Gauthier Onclin</v>
      </c>
      <c r="C88" s="4">
        <f>'Raw Data'!C88</f>
        <v>236</v>
      </c>
      <c r="D88" s="4">
        <f>'Raw Data'!D88</f>
        <v>0</v>
      </c>
      <c r="E88" s="4" t="str">
        <f>'Raw Data'!J88</f>
        <v>R128</v>
      </c>
      <c r="F88" s="4">
        <f>'Raw Data'!K88</f>
        <v>1</v>
      </c>
      <c r="G88" s="4" t="str">
        <f>'Raw Data'!E88</f>
        <v>R128</v>
      </c>
      <c r="H88" s="4">
        <f>'Raw Data'!F88</f>
        <v>1</v>
      </c>
      <c r="I88" s="18">
        <f>'Raw Data'!L88</f>
        <v>0</v>
      </c>
    </row>
    <row r="89" spans="1:9" x14ac:dyDescent="0.3">
      <c r="A89" s="17" t="str">
        <f>'Raw Data'!A89</f>
        <v>Australian Open</v>
      </c>
      <c r="B89" s="4" t="str">
        <f>'Raw Data'!B89</f>
        <v>Tomas Machac</v>
      </c>
      <c r="C89" s="4">
        <f>'Raw Data'!C89</f>
        <v>26</v>
      </c>
      <c r="D89" s="4">
        <f>'Raw Data'!D89</f>
        <v>26</v>
      </c>
      <c r="E89" s="4" t="str">
        <f>'Raw Data'!J89</f>
        <v>R32</v>
      </c>
      <c r="F89" s="4">
        <f>'Raw Data'!K89</f>
        <v>3</v>
      </c>
      <c r="G89" s="4" t="str">
        <f>'Raw Data'!E89</f>
        <v>R32</v>
      </c>
      <c r="H89" s="4">
        <f>'Raw Data'!F89</f>
        <v>3</v>
      </c>
      <c r="I89" s="18">
        <f>'Raw Data'!L89</f>
        <v>0</v>
      </c>
    </row>
    <row r="90" spans="1:9" x14ac:dyDescent="0.3">
      <c r="A90" s="17" t="str">
        <f>'Raw Data'!A90</f>
        <v>Australian Open</v>
      </c>
      <c r="B90" s="4" t="str">
        <f>'Raw Data'!B90</f>
        <v>Jordan Thompson</v>
      </c>
      <c r="C90" s="4">
        <f>'Raw Data'!C90</f>
        <v>27</v>
      </c>
      <c r="D90" s="4">
        <f>'Raw Data'!D90</f>
        <v>27</v>
      </c>
      <c r="E90" s="4" t="str">
        <f>'Raw Data'!J90</f>
        <v>R32</v>
      </c>
      <c r="F90" s="4">
        <f>'Raw Data'!K90</f>
        <v>3</v>
      </c>
      <c r="G90" s="4" t="str">
        <f>'Raw Data'!E90</f>
        <v>R64</v>
      </c>
      <c r="H90" s="4">
        <f>'Raw Data'!F90</f>
        <v>2</v>
      </c>
      <c r="I90" s="18">
        <f>'Raw Data'!L90</f>
        <v>-1</v>
      </c>
    </row>
    <row r="91" spans="1:9" x14ac:dyDescent="0.3">
      <c r="A91" s="17" t="str">
        <f>'Raw Data'!A91</f>
        <v>Australian Open</v>
      </c>
      <c r="B91" s="4" t="str">
        <f>'Raw Data'!B91</f>
        <v>Sumit Nagal</v>
      </c>
      <c r="C91" s="4">
        <f>'Raw Data'!C91</f>
        <v>96</v>
      </c>
      <c r="D91" s="4">
        <f>'Raw Data'!D91</f>
        <v>0</v>
      </c>
      <c r="E91" s="4" t="str">
        <f>'Raw Data'!J91</f>
        <v>R128</v>
      </c>
      <c r="F91" s="4">
        <f>'Raw Data'!K91</f>
        <v>1</v>
      </c>
      <c r="G91" s="4" t="str">
        <f>'Raw Data'!E91</f>
        <v>R128</v>
      </c>
      <c r="H91" s="4">
        <f>'Raw Data'!F91</f>
        <v>1</v>
      </c>
      <c r="I91" s="18">
        <f>'Raw Data'!L91</f>
        <v>0</v>
      </c>
    </row>
    <row r="92" spans="1:9" x14ac:dyDescent="0.3">
      <c r="A92" s="17" t="str">
        <f>'Raw Data'!A92</f>
        <v>Australian Open</v>
      </c>
      <c r="B92" s="4" t="str">
        <f>'Raw Data'!B92</f>
        <v>Jiri Lehecka</v>
      </c>
      <c r="C92" s="4">
        <f>'Raw Data'!C92</f>
        <v>24</v>
      </c>
      <c r="D92" s="4">
        <f>'Raw Data'!D92</f>
        <v>24</v>
      </c>
      <c r="E92" s="4" t="str">
        <f>'Raw Data'!J92</f>
        <v>R32</v>
      </c>
      <c r="F92" s="4">
        <f>'Raw Data'!K92</f>
        <v>3</v>
      </c>
      <c r="G92" s="4" t="str">
        <f>'Raw Data'!E92</f>
        <v>R16</v>
      </c>
      <c r="H92" s="4">
        <f>'Raw Data'!F92</f>
        <v>4</v>
      </c>
      <c r="I92" s="18">
        <f>'Raw Data'!L92</f>
        <v>1</v>
      </c>
    </row>
    <row r="93" spans="1:9" x14ac:dyDescent="0.3">
      <c r="A93" s="17" t="str">
        <f>'Raw Data'!A93</f>
        <v>Australian Open</v>
      </c>
      <c r="B93" s="4" t="str">
        <f>'Raw Data'!B93</f>
        <v>Li Tu</v>
      </c>
      <c r="C93" s="4">
        <f>'Raw Data'!C93</f>
        <v>179</v>
      </c>
      <c r="D93" s="4">
        <f>'Raw Data'!D93</f>
        <v>0</v>
      </c>
      <c r="E93" s="4" t="str">
        <f>'Raw Data'!J93</f>
        <v>R128</v>
      </c>
      <c r="F93" s="4">
        <f>'Raw Data'!K93</f>
        <v>1</v>
      </c>
      <c r="G93" s="4" t="str">
        <f>'Raw Data'!E93</f>
        <v>R128</v>
      </c>
      <c r="H93" s="4">
        <f>'Raw Data'!F93</f>
        <v>1</v>
      </c>
      <c r="I93" s="18">
        <f>'Raw Data'!L93</f>
        <v>0</v>
      </c>
    </row>
    <row r="94" spans="1:9" x14ac:dyDescent="0.3">
      <c r="A94" s="17" t="str">
        <f>'Raw Data'!A94</f>
        <v>Australian Open</v>
      </c>
      <c r="B94" s="4" t="str">
        <f>'Raw Data'!B94</f>
        <v>Hugo Gaston</v>
      </c>
      <c r="C94" s="4">
        <f>'Raw Data'!C94</f>
        <v>81</v>
      </c>
      <c r="D94" s="4">
        <f>'Raw Data'!D94</f>
        <v>0</v>
      </c>
      <c r="E94" s="4" t="str">
        <f>'Raw Data'!J94</f>
        <v>R128</v>
      </c>
      <c r="F94" s="4">
        <f>'Raw Data'!K94</f>
        <v>1</v>
      </c>
      <c r="G94" s="4" t="str">
        <f>'Raw Data'!E94</f>
        <v>R64</v>
      </c>
      <c r="H94" s="4">
        <f>'Raw Data'!F94</f>
        <v>2</v>
      </c>
      <c r="I94" s="18">
        <f>'Raw Data'!L94</f>
        <v>1</v>
      </c>
    </row>
    <row r="95" spans="1:9" x14ac:dyDescent="0.3">
      <c r="A95" s="17" t="str">
        <f>'Raw Data'!A95</f>
        <v>Australian Open</v>
      </c>
      <c r="B95" s="4" t="str">
        <f>'Raw Data'!B95</f>
        <v>Omar Jasika</v>
      </c>
      <c r="C95" s="4">
        <f>'Raw Data'!C95</f>
        <v>180</v>
      </c>
      <c r="D95" s="4">
        <f>'Raw Data'!D95</f>
        <v>0</v>
      </c>
      <c r="E95" s="4" t="str">
        <f>'Raw Data'!J95</f>
        <v>R128</v>
      </c>
      <c r="F95" s="4">
        <f>'Raw Data'!K95</f>
        <v>1</v>
      </c>
      <c r="G95" s="4" t="str">
        <f>'Raw Data'!E95</f>
        <v>R128</v>
      </c>
      <c r="H95" s="4">
        <f>'Raw Data'!F95</f>
        <v>1</v>
      </c>
      <c r="I95" s="18">
        <f>'Raw Data'!L95</f>
        <v>0</v>
      </c>
    </row>
    <row r="96" spans="1:9" x14ac:dyDescent="0.3">
      <c r="A96" s="17" t="str">
        <f>'Raw Data'!A96</f>
        <v>Australian Open</v>
      </c>
      <c r="B96" s="4" t="str">
        <f>'Raw Data'!B96</f>
        <v>Quentin Halys</v>
      </c>
      <c r="C96" s="4">
        <f>'Raw Data'!C96</f>
        <v>71</v>
      </c>
      <c r="D96" s="4">
        <f>'Raw Data'!D96</f>
        <v>0</v>
      </c>
      <c r="E96" s="4" t="str">
        <f>'Raw Data'!J96</f>
        <v>R128</v>
      </c>
      <c r="F96" s="4">
        <f>'Raw Data'!K96</f>
        <v>1</v>
      </c>
      <c r="G96" s="4" t="str">
        <f>'Raw Data'!E96</f>
        <v>R64</v>
      </c>
      <c r="H96" s="4">
        <f>'Raw Data'!F96</f>
        <v>2</v>
      </c>
      <c r="I96" s="18">
        <f>'Raw Data'!L96</f>
        <v>1</v>
      </c>
    </row>
    <row r="97" spans="1:9" x14ac:dyDescent="0.3">
      <c r="A97" s="17" t="str">
        <f>'Raw Data'!A97</f>
        <v>Australian Open</v>
      </c>
      <c r="B97" s="4" t="str">
        <f>'Raw Data'!B97</f>
        <v>Benjamin Bonzi</v>
      </c>
      <c r="C97" s="4">
        <f>'Raw Data'!C97</f>
        <v>70</v>
      </c>
      <c r="D97" s="4">
        <f>'Raw Data'!D97</f>
        <v>0</v>
      </c>
      <c r="E97" s="4" t="str">
        <f>'Raw Data'!J97</f>
        <v>R128</v>
      </c>
      <c r="F97" s="4">
        <f>'Raw Data'!K97</f>
        <v>1</v>
      </c>
      <c r="G97" s="4" t="str">
        <f>'Raw Data'!E97</f>
        <v>R32</v>
      </c>
      <c r="H97" s="4">
        <f>'Raw Data'!F97</f>
        <v>3</v>
      </c>
      <c r="I97" s="18">
        <f>'Raw Data'!L97</f>
        <v>2</v>
      </c>
    </row>
    <row r="98" spans="1:9" x14ac:dyDescent="0.3">
      <c r="A98" s="17" t="str">
        <f>'Raw Data'!A98</f>
        <v>Australian Open</v>
      </c>
      <c r="B98" s="4" t="str">
        <f>'Raw Data'!B98</f>
        <v>Francesco Passaro</v>
      </c>
      <c r="C98" s="4">
        <f>'Raw Data'!C98</f>
        <v>105</v>
      </c>
      <c r="D98" s="4">
        <f>'Raw Data'!D98</f>
        <v>0</v>
      </c>
      <c r="E98" s="4" t="str">
        <f>'Raw Data'!J98</f>
        <v>R128</v>
      </c>
      <c r="F98" s="4">
        <f>'Raw Data'!K98</f>
        <v>1</v>
      </c>
      <c r="G98" s="4" t="str">
        <f>'Raw Data'!E98</f>
        <v>R64</v>
      </c>
      <c r="H98" s="4">
        <f>'Raw Data'!F98</f>
        <v>2</v>
      </c>
      <c r="I98" s="18">
        <f>'Raw Data'!L98</f>
        <v>1</v>
      </c>
    </row>
    <row r="99" spans="1:9" x14ac:dyDescent="0.3">
      <c r="A99" s="17" t="str">
        <f>'Raw Data'!A99</f>
        <v>Australian Open</v>
      </c>
      <c r="B99" s="4" t="str">
        <f>'Raw Data'!B99</f>
        <v>Jack Draper</v>
      </c>
      <c r="C99" s="4">
        <f>'Raw Data'!C99</f>
        <v>15</v>
      </c>
      <c r="D99" s="4">
        <f>'Raw Data'!D99</f>
        <v>15</v>
      </c>
      <c r="E99" s="4" t="str">
        <f>'Raw Data'!J99</f>
        <v>R16</v>
      </c>
      <c r="F99" s="4">
        <f>'Raw Data'!K99</f>
        <v>4</v>
      </c>
      <c r="G99" s="4" t="str">
        <f>'Raw Data'!E99</f>
        <v>R16</v>
      </c>
      <c r="H99" s="4">
        <f>'Raw Data'!F99</f>
        <v>4</v>
      </c>
      <c r="I99" s="18">
        <f>'Raw Data'!L99</f>
        <v>0</v>
      </c>
    </row>
    <row r="100" spans="1:9" x14ac:dyDescent="0.3">
      <c r="A100" s="17" t="str">
        <f>'Raw Data'!A100</f>
        <v>Australian Open</v>
      </c>
      <c r="B100" s="4" t="str">
        <f>'Raw Data'!B100</f>
        <v>Mariano Navone</v>
      </c>
      <c r="C100" s="4">
        <f>'Raw Data'!C100</f>
        <v>46</v>
      </c>
      <c r="D100" s="4">
        <f>'Raw Data'!D100</f>
        <v>0</v>
      </c>
      <c r="E100" s="4" t="str">
        <f>'Raw Data'!J100</f>
        <v>R64</v>
      </c>
      <c r="F100" s="4">
        <f>'Raw Data'!K100</f>
        <v>2</v>
      </c>
      <c r="G100" s="4" t="str">
        <f>'Raw Data'!E100</f>
        <v>R128</v>
      </c>
      <c r="H100" s="4">
        <f>'Raw Data'!F100</f>
        <v>1</v>
      </c>
      <c r="I100" s="18">
        <f>'Raw Data'!L100</f>
        <v>-1</v>
      </c>
    </row>
    <row r="101" spans="1:9" x14ac:dyDescent="0.3">
      <c r="A101" s="17" t="str">
        <f>'Raw Data'!A101</f>
        <v>Australian Open</v>
      </c>
      <c r="B101" s="4" t="str">
        <f>'Raw Data'!B101</f>
        <v>Roman Safiullin</v>
      </c>
      <c r="C101" s="4">
        <f>'Raw Data'!C101</f>
        <v>62</v>
      </c>
      <c r="D101" s="4">
        <f>'Raw Data'!D101</f>
        <v>0</v>
      </c>
      <c r="E101" s="4" t="str">
        <f>'Raw Data'!J101</f>
        <v>R64</v>
      </c>
      <c r="F101" s="4">
        <f>'Raw Data'!K101</f>
        <v>2</v>
      </c>
      <c r="G101" s="4" t="str">
        <f>'Raw Data'!E101</f>
        <v>R128</v>
      </c>
      <c r="H101" s="4">
        <f>'Raw Data'!F101</f>
        <v>1</v>
      </c>
      <c r="I101" s="18">
        <f>'Raw Data'!L101</f>
        <v>-1</v>
      </c>
    </row>
    <row r="102" spans="1:9" x14ac:dyDescent="0.3">
      <c r="A102" s="17" t="str">
        <f>'Raw Data'!A102</f>
        <v>Australian Open</v>
      </c>
      <c r="B102" s="4" t="str">
        <f>'Raw Data'!B102</f>
        <v>Aleksandar Vukic</v>
      </c>
      <c r="C102" s="4">
        <f>'Raw Data'!C102</f>
        <v>67</v>
      </c>
      <c r="D102" s="4">
        <f>'Raw Data'!D102</f>
        <v>0</v>
      </c>
      <c r="E102" s="4" t="str">
        <f>'Raw Data'!J102</f>
        <v>R128</v>
      </c>
      <c r="F102" s="4">
        <f>'Raw Data'!K102</f>
        <v>1</v>
      </c>
      <c r="G102" s="4" t="str">
        <f>'Raw Data'!E102</f>
        <v>R32</v>
      </c>
      <c r="H102" s="4">
        <f>'Raw Data'!F102</f>
        <v>3</v>
      </c>
      <c r="I102" s="18">
        <f>'Raw Data'!L102</f>
        <v>2</v>
      </c>
    </row>
    <row r="103" spans="1:9" x14ac:dyDescent="0.3">
      <c r="A103" s="17" t="str">
        <f>'Raw Data'!A103</f>
        <v>Australian Open</v>
      </c>
      <c r="B103" s="4" t="str">
        <f>'Raw Data'!B103</f>
        <v>Sebastian Korda</v>
      </c>
      <c r="C103" s="4">
        <f>'Raw Data'!C103</f>
        <v>22</v>
      </c>
      <c r="D103" s="4">
        <f>'Raw Data'!D103</f>
        <v>22</v>
      </c>
      <c r="E103" s="4" t="str">
        <f>'Raw Data'!J103</f>
        <v>R32</v>
      </c>
      <c r="F103" s="4">
        <f>'Raw Data'!K103</f>
        <v>3</v>
      </c>
      <c r="G103" s="4" t="str">
        <f>'Raw Data'!E103</f>
        <v>R64</v>
      </c>
      <c r="H103" s="4">
        <f>'Raw Data'!F103</f>
        <v>2</v>
      </c>
      <c r="I103" s="18">
        <f>'Raw Data'!L103</f>
        <v>-1</v>
      </c>
    </row>
    <row r="104" spans="1:9" x14ac:dyDescent="0.3">
      <c r="A104" s="17" t="str">
        <f>'Raw Data'!A104</f>
        <v>Australian Open</v>
      </c>
      <c r="B104" s="4" t="str">
        <f>'Raw Data'!B104</f>
        <v>Lukas Klein</v>
      </c>
      <c r="C104" s="4">
        <f>'Raw Data'!C104</f>
        <v>145</v>
      </c>
      <c r="D104" s="4">
        <f>'Raw Data'!D104</f>
        <v>0</v>
      </c>
      <c r="E104" s="4" t="str">
        <f>'Raw Data'!J104</f>
        <v>R128</v>
      </c>
      <c r="F104" s="4">
        <f>'Raw Data'!K104</f>
        <v>1</v>
      </c>
      <c r="G104" s="4" t="str">
        <f>'Raw Data'!E104</f>
        <v>R128</v>
      </c>
      <c r="H104" s="4">
        <f>'Raw Data'!F104</f>
        <v>1</v>
      </c>
      <c r="I104" s="18">
        <f>'Raw Data'!L104</f>
        <v>0</v>
      </c>
    </row>
    <row r="105" spans="1:9" x14ac:dyDescent="0.3">
      <c r="A105" s="17" t="str">
        <f>'Raw Data'!A105</f>
        <v>Australian Open</v>
      </c>
      <c r="B105" s="4" t="str">
        <f>'Raw Data'!B105</f>
        <v>Pedro Martinez</v>
      </c>
      <c r="C105" s="4">
        <f>'Raw Data'!C105</f>
        <v>43</v>
      </c>
      <c r="D105" s="4">
        <f>'Raw Data'!D105</f>
        <v>0</v>
      </c>
      <c r="E105" s="4" t="str">
        <f>'Raw Data'!J105</f>
        <v>R64</v>
      </c>
      <c r="F105" s="4">
        <f>'Raw Data'!K105</f>
        <v>2</v>
      </c>
      <c r="G105" s="4" t="str">
        <f>'Raw Data'!E105</f>
        <v>R64</v>
      </c>
      <c r="H105" s="4">
        <f>'Raw Data'!F105</f>
        <v>2</v>
      </c>
      <c r="I105" s="18">
        <f>'Raw Data'!L105</f>
        <v>0</v>
      </c>
    </row>
    <row r="106" spans="1:9" x14ac:dyDescent="0.3">
      <c r="A106" s="17" t="str">
        <f>'Raw Data'!A106</f>
        <v>Australian Open</v>
      </c>
      <c r="B106" s="4" t="str">
        <f>'Raw Data'!B106</f>
        <v>Dominik Koepfer</v>
      </c>
      <c r="C106" s="4">
        <f>'Raw Data'!C106</f>
        <v>123</v>
      </c>
      <c r="D106" s="4">
        <f>'Raw Data'!D106</f>
        <v>0</v>
      </c>
      <c r="E106" s="4" t="str">
        <f>'Raw Data'!J106</f>
        <v>R128</v>
      </c>
      <c r="F106" s="4">
        <f>'Raw Data'!K106</f>
        <v>1</v>
      </c>
      <c r="G106" s="4" t="str">
        <f>'Raw Data'!E106</f>
        <v>R128</v>
      </c>
      <c r="H106" s="4">
        <f>'Raw Data'!F106</f>
        <v>1</v>
      </c>
      <c r="I106" s="18">
        <f>'Raw Data'!L106</f>
        <v>0</v>
      </c>
    </row>
    <row r="107" spans="1:9" x14ac:dyDescent="0.3">
      <c r="A107" s="17" t="str">
        <f>'Raw Data'!A107</f>
        <v>Australian Open</v>
      </c>
      <c r="B107" s="4" t="str">
        <f>'Raw Data'!B107</f>
        <v>Nuno Borges</v>
      </c>
      <c r="C107" s="4">
        <f>'Raw Data'!C107</f>
        <v>36</v>
      </c>
      <c r="D107" s="4">
        <f>'Raw Data'!D107</f>
        <v>0</v>
      </c>
      <c r="E107" s="4" t="str">
        <f>'Raw Data'!J107</f>
        <v>R64</v>
      </c>
      <c r="F107" s="4">
        <f>'Raw Data'!K107</f>
        <v>2</v>
      </c>
      <c r="G107" s="4" t="str">
        <f>'Raw Data'!E107</f>
        <v>R32</v>
      </c>
      <c r="H107" s="4">
        <f>'Raw Data'!F107</f>
        <v>3</v>
      </c>
      <c r="I107" s="18">
        <f>'Raw Data'!L107</f>
        <v>1</v>
      </c>
    </row>
    <row r="108" spans="1:9" x14ac:dyDescent="0.3">
      <c r="A108" s="17" t="str">
        <f>'Raw Data'!A108</f>
        <v>Australian Open</v>
      </c>
      <c r="B108" s="4" t="str">
        <f>'Raw Data'!B108</f>
        <v>Alexandre Muller</v>
      </c>
      <c r="C108" s="4">
        <f>'Raw Data'!C108</f>
        <v>56</v>
      </c>
      <c r="D108" s="4">
        <f>'Raw Data'!D108</f>
        <v>0</v>
      </c>
      <c r="E108" s="4" t="str">
        <f>'Raw Data'!J108</f>
        <v>R64</v>
      </c>
      <c r="F108" s="4">
        <f>'Raw Data'!K108</f>
        <v>2</v>
      </c>
      <c r="G108" s="4" t="str">
        <f>'Raw Data'!E108</f>
        <v>R128</v>
      </c>
      <c r="H108" s="4">
        <f>'Raw Data'!F108</f>
        <v>1</v>
      </c>
      <c r="I108" s="18">
        <f>'Raw Data'!L108</f>
        <v>-1</v>
      </c>
    </row>
    <row r="109" spans="1:9" x14ac:dyDescent="0.3">
      <c r="A109" s="17" t="str">
        <f>'Raw Data'!A109</f>
        <v>Australian Open</v>
      </c>
      <c r="B109" s="4" t="str">
        <f>'Raw Data'!B109</f>
        <v>Aziz Dougaz</v>
      </c>
      <c r="C109" s="4">
        <f>'Raw Data'!C109</f>
        <v>230</v>
      </c>
      <c r="D109" s="4">
        <f>'Raw Data'!D109</f>
        <v>0</v>
      </c>
      <c r="E109" s="4" t="str">
        <f>'Raw Data'!J109</f>
        <v>R128</v>
      </c>
      <c r="F109" s="4">
        <f>'Raw Data'!K109</f>
        <v>1</v>
      </c>
      <c r="G109" s="4" t="str">
        <f>'Raw Data'!E109</f>
        <v>R128</v>
      </c>
      <c r="H109" s="4">
        <f>'Raw Data'!F109</f>
        <v>1</v>
      </c>
      <c r="I109" s="18">
        <f>'Raw Data'!L109</f>
        <v>0</v>
      </c>
    </row>
    <row r="110" spans="1:9" x14ac:dyDescent="0.3">
      <c r="A110" s="17" t="str">
        <f>'Raw Data'!A110</f>
        <v>Australian Open</v>
      </c>
      <c r="B110" s="4" t="str">
        <f>'Raw Data'!B110</f>
        <v>Carlos Alcaraz</v>
      </c>
      <c r="C110" s="4">
        <f>'Raw Data'!C110</f>
        <v>3</v>
      </c>
      <c r="D110" s="4">
        <f>'Raw Data'!D110</f>
        <v>3</v>
      </c>
      <c r="E110" s="4" t="str">
        <f>'Raw Data'!J110</f>
        <v>Semi-final</v>
      </c>
      <c r="F110" s="4">
        <f>'Raw Data'!K110</f>
        <v>6</v>
      </c>
      <c r="G110" s="4" t="str">
        <f>'Raw Data'!E110</f>
        <v xml:space="preserve">Quarter-final </v>
      </c>
      <c r="H110" s="4">
        <f>'Raw Data'!F110</f>
        <v>5</v>
      </c>
      <c r="I110" s="18">
        <f>'Raw Data'!L110</f>
        <v>-1</v>
      </c>
    </row>
    <row r="111" spans="1:9" x14ac:dyDescent="0.3">
      <c r="A111" s="17" t="str">
        <f>'Raw Data'!A111</f>
        <v>Australian Open</v>
      </c>
      <c r="B111" s="4" t="str">
        <f>'Raw Data'!B111</f>
        <v>Alexander Shevchenko</v>
      </c>
      <c r="C111" s="4">
        <f>'Raw Data'!C111</f>
        <v>72</v>
      </c>
      <c r="D111" s="4">
        <f>'Raw Data'!D111</f>
        <v>0</v>
      </c>
      <c r="E111" s="4" t="str">
        <f>'Raw Data'!J111</f>
        <v>R128</v>
      </c>
      <c r="F111" s="4">
        <f>'Raw Data'!K111</f>
        <v>1</v>
      </c>
      <c r="G111" s="4" t="str">
        <f>'Raw Data'!E111</f>
        <v>R128</v>
      </c>
      <c r="H111" s="4">
        <f>'Raw Data'!F111</f>
        <v>1</v>
      </c>
      <c r="I111" s="18">
        <f>'Raw Data'!L111</f>
        <v>0</v>
      </c>
    </row>
    <row r="112" spans="1:9" x14ac:dyDescent="0.3">
      <c r="A112" s="17" t="str">
        <f>'Raw Data'!A112</f>
        <v>Australian Open</v>
      </c>
      <c r="B112" s="4" t="str">
        <f>'Raw Data'!B112</f>
        <v>Tommy Paul</v>
      </c>
      <c r="C112" s="4">
        <f>'Raw Data'!C112</f>
        <v>12</v>
      </c>
      <c r="D112" s="4">
        <f>'Raw Data'!D112</f>
        <v>12</v>
      </c>
      <c r="E112" s="4" t="str">
        <f>'Raw Data'!J112</f>
        <v>R16</v>
      </c>
      <c r="F112" s="4">
        <f>'Raw Data'!K112</f>
        <v>4</v>
      </c>
      <c r="G112" s="4" t="str">
        <f>'Raw Data'!E112</f>
        <v xml:space="preserve">Quarter-final </v>
      </c>
      <c r="H112" s="4">
        <f>'Raw Data'!F112</f>
        <v>5</v>
      </c>
      <c r="I112" s="18">
        <f>'Raw Data'!L112</f>
        <v>1</v>
      </c>
    </row>
    <row r="113" spans="1:9" x14ac:dyDescent="0.3">
      <c r="A113" s="17" t="str">
        <f>'Raw Data'!A113</f>
        <v>Australian Open</v>
      </c>
      <c r="B113" s="4" t="str">
        <f>'Raw Data'!B113</f>
        <v>Casper Ruud</v>
      </c>
      <c r="C113" s="4">
        <f>'Raw Data'!C113</f>
        <v>6</v>
      </c>
      <c r="D113" s="4">
        <f>'Raw Data'!D113</f>
        <v>6</v>
      </c>
      <c r="E113" s="4" t="str">
        <f>'Raw Data'!J113</f>
        <v>Quarter-final</v>
      </c>
      <c r="F113" s="4">
        <f>'Raw Data'!K113</f>
        <v>5</v>
      </c>
      <c r="G113" s="4" t="str">
        <f>'Raw Data'!E113</f>
        <v>R64</v>
      </c>
      <c r="H113" s="4">
        <f>'Raw Data'!F113</f>
        <v>2</v>
      </c>
      <c r="I113" s="18">
        <f>'Raw Data'!L113</f>
        <v>-3</v>
      </c>
    </row>
    <row r="114" spans="1:9" x14ac:dyDescent="0.3">
      <c r="A114" s="17" t="str">
        <f>'Raw Data'!A114</f>
        <v>Australian Open</v>
      </c>
      <c r="B114" s="4" t="str">
        <f>'Raw Data'!B114</f>
        <v>Jaume Munar</v>
      </c>
      <c r="C114" s="4">
        <f>'Raw Data'!C114</f>
        <v>61</v>
      </c>
      <c r="D114" s="4">
        <f>'Raw Data'!D114</f>
        <v>0</v>
      </c>
      <c r="E114" s="4" t="str">
        <f>'Raw Data'!J114</f>
        <v>R64</v>
      </c>
      <c r="F114" s="4">
        <f>'Raw Data'!K114</f>
        <v>2</v>
      </c>
      <c r="G114" s="4" t="str">
        <f>'Raw Data'!E114</f>
        <v>R128</v>
      </c>
      <c r="H114" s="4">
        <f>'Raw Data'!F114</f>
        <v>1</v>
      </c>
      <c r="I114" s="18">
        <f>'Raw Data'!L114</f>
        <v>-1</v>
      </c>
    </row>
    <row r="115" spans="1:9" x14ac:dyDescent="0.3">
      <c r="A115" s="17" t="str">
        <f>'Raw Data'!A115</f>
        <v>Australian Open</v>
      </c>
      <c r="B115" s="4" t="str">
        <f>'Raw Data'!B115</f>
        <v>Jakub Mensik</v>
      </c>
      <c r="C115" s="4">
        <f>'Raw Data'!C115</f>
        <v>49</v>
      </c>
      <c r="D115" s="4">
        <f>'Raw Data'!D115</f>
        <v>0</v>
      </c>
      <c r="E115" s="4" t="str">
        <f>'Raw Data'!J115</f>
        <v>R64</v>
      </c>
      <c r="F115" s="4">
        <f>'Raw Data'!K115</f>
        <v>2</v>
      </c>
      <c r="G115" s="4" t="str">
        <f>'Raw Data'!E115</f>
        <v>R32</v>
      </c>
      <c r="H115" s="4">
        <f>'Raw Data'!F115</f>
        <v>3</v>
      </c>
      <c r="I115" s="18">
        <f>'Raw Data'!L115</f>
        <v>1</v>
      </c>
    </row>
    <row r="116" spans="1:9" x14ac:dyDescent="0.3">
      <c r="A116" s="17" t="str">
        <f>'Raw Data'!A116</f>
        <v>Australian Open</v>
      </c>
      <c r="B116" s="4" t="str">
        <f>'Raw Data'!B116</f>
        <v>Alejandro Tabilo</v>
      </c>
      <c r="C116" s="4">
        <f>'Raw Data'!C116</f>
        <v>23</v>
      </c>
      <c r="D116" s="4">
        <f>'Raw Data'!D116</f>
        <v>23</v>
      </c>
      <c r="E116" s="4" t="str">
        <f>'Raw Data'!J116</f>
        <v>R32</v>
      </c>
      <c r="F116" s="4">
        <f>'Raw Data'!K116</f>
        <v>3</v>
      </c>
      <c r="G116" s="4" t="str">
        <f>'Raw Data'!E116</f>
        <v>R128</v>
      </c>
      <c r="H116" s="4">
        <f>'Raw Data'!F116</f>
        <v>1</v>
      </c>
      <c r="I116" s="18">
        <f>'Raw Data'!L116</f>
        <v>-2</v>
      </c>
    </row>
    <row r="117" spans="1:9" x14ac:dyDescent="0.3">
      <c r="A117" s="17" t="str">
        <f>'Raw Data'!A117</f>
        <v>Australian Open</v>
      </c>
      <c r="B117" s="4" t="str">
        <f>'Raw Data'!B117</f>
        <v>Alejandro Davidovich Fokina</v>
      </c>
      <c r="C117" s="4">
        <f>'Raw Data'!C117</f>
        <v>68</v>
      </c>
      <c r="D117" s="4">
        <f>'Raw Data'!D117</f>
        <v>0</v>
      </c>
      <c r="E117" s="4" t="str">
        <f>'Raw Data'!J117</f>
        <v>R128</v>
      </c>
      <c r="F117" s="4">
        <f>'Raw Data'!K117</f>
        <v>1</v>
      </c>
      <c r="G117" s="4" t="str">
        <f>'Raw Data'!E117</f>
        <v>R16</v>
      </c>
      <c r="H117" s="4">
        <f>'Raw Data'!F117</f>
        <v>4</v>
      </c>
      <c r="I117" s="18">
        <f>'Raw Data'!L117</f>
        <v>3</v>
      </c>
    </row>
    <row r="118" spans="1:9" x14ac:dyDescent="0.3">
      <c r="A118" s="17" t="str">
        <f>'Raw Data'!A118</f>
        <v>Australian Open</v>
      </c>
      <c r="B118" s="4" t="str">
        <f>'Raw Data'!B118</f>
        <v>Juncheng Shang</v>
      </c>
      <c r="C118" s="4">
        <f>'Raw Data'!C118</f>
        <v>50</v>
      </c>
      <c r="D118" s="4">
        <f>'Raw Data'!D118</f>
        <v>0</v>
      </c>
      <c r="E118" s="4" t="str">
        <f>'Raw Data'!J118</f>
        <v>R64</v>
      </c>
      <c r="F118" s="4">
        <f>'Raw Data'!K118</f>
        <v>2</v>
      </c>
      <c r="G118" s="4" t="str">
        <f>'Raw Data'!E118</f>
        <v>R128</v>
      </c>
      <c r="H118" s="4">
        <f>'Raw Data'!F118</f>
        <v>1</v>
      </c>
      <c r="I118" s="18">
        <f>'Raw Data'!L118</f>
        <v>-1</v>
      </c>
    </row>
    <row r="119" spans="1:9" x14ac:dyDescent="0.3">
      <c r="A119" s="17" t="str">
        <f>'Raw Data'!A119</f>
        <v>Australian Open</v>
      </c>
      <c r="B119" s="4" t="str">
        <f>'Raw Data'!B119</f>
        <v>Felix Auger Aliassime</v>
      </c>
      <c r="C119" s="4">
        <f>'Raw Data'!C119</f>
        <v>29</v>
      </c>
      <c r="D119" s="4">
        <f>'Raw Data'!D119</f>
        <v>29</v>
      </c>
      <c r="E119" s="4" t="str">
        <f>'Raw Data'!J119</f>
        <v>R32</v>
      </c>
      <c r="F119" s="4">
        <f>'Raw Data'!K119</f>
        <v>3</v>
      </c>
      <c r="G119" s="4" t="str">
        <f>'Raw Data'!E119</f>
        <v>R64</v>
      </c>
      <c r="H119" s="4">
        <f>'Raw Data'!F119</f>
        <v>2</v>
      </c>
      <c r="I119" s="18">
        <f>'Raw Data'!L119</f>
        <v>-1</v>
      </c>
    </row>
    <row r="120" spans="1:9" x14ac:dyDescent="0.3">
      <c r="A120" s="17" t="str">
        <f>'Raw Data'!A120</f>
        <v>Australian Open</v>
      </c>
      <c r="B120" s="4" t="str">
        <f>'Raw Data'!B120</f>
        <v>Dominic Stricker</v>
      </c>
      <c r="C120" s="4">
        <f>'Raw Data'!C120</f>
        <v>298</v>
      </c>
      <c r="D120" s="4">
        <f>'Raw Data'!D120</f>
        <v>0</v>
      </c>
      <c r="E120" s="4" t="str">
        <f>'Raw Data'!J120</f>
        <v>R128</v>
      </c>
      <c r="F120" s="4">
        <f>'Raw Data'!K120</f>
        <v>1</v>
      </c>
      <c r="G120" s="4" t="str">
        <f>'Raw Data'!E120</f>
        <v>R128</v>
      </c>
      <c r="H120" s="4">
        <f>'Raw Data'!F120</f>
        <v>1</v>
      </c>
      <c r="I120" s="18">
        <f>'Raw Data'!L120</f>
        <v>0</v>
      </c>
    </row>
    <row r="121" spans="1:9" x14ac:dyDescent="0.3">
      <c r="A121" s="17" t="str">
        <f>'Raw Data'!A121</f>
        <v>Australian Open</v>
      </c>
      <c r="B121" s="4" t="str">
        <f>'Raw Data'!B121</f>
        <v>Ugo Humbert</v>
      </c>
      <c r="C121" s="4">
        <f>'Raw Data'!C121</f>
        <v>14</v>
      </c>
      <c r="D121" s="4">
        <f>'Raw Data'!D121</f>
        <v>14</v>
      </c>
      <c r="E121" s="4" t="str">
        <f>'Raw Data'!J121</f>
        <v>R16</v>
      </c>
      <c r="F121" s="4">
        <f>'Raw Data'!K121</f>
        <v>4</v>
      </c>
      <c r="G121" s="4" t="str">
        <f>'Raw Data'!E121</f>
        <v>R16</v>
      </c>
      <c r="H121" s="4">
        <f>'Raw Data'!F121</f>
        <v>4</v>
      </c>
      <c r="I121" s="18">
        <f>'Raw Data'!L121</f>
        <v>0</v>
      </c>
    </row>
    <row r="122" spans="1:9" x14ac:dyDescent="0.3">
      <c r="A122" s="17" t="str">
        <f>'Raw Data'!A122</f>
        <v>Australian Open</v>
      </c>
      <c r="B122" s="4" t="str">
        <f>'Raw Data'!B122</f>
        <v>Matteo Gigante</v>
      </c>
      <c r="C122" s="4">
        <f>'Raw Data'!C122</f>
        <v>146</v>
      </c>
      <c r="D122" s="4">
        <f>'Raw Data'!D122</f>
        <v>0</v>
      </c>
      <c r="E122" s="4" t="str">
        <f>'Raw Data'!J122</f>
        <v>R128</v>
      </c>
      <c r="F122" s="4">
        <f>'Raw Data'!K122</f>
        <v>1</v>
      </c>
      <c r="G122" s="4" t="str">
        <f>'Raw Data'!E122</f>
        <v>R128</v>
      </c>
      <c r="H122" s="4">
        <f>'Raw Data'!F122</f>
        <v>1</v>
      </c>
      <c r="I122" s="18">
        <f>'Raw Data'!L122</f>
        <v>0</v>
      </c>
    </row>
    <row r="123" spans="1:9" x14ac:dyDescent="0.3">
      <c r="A123" s="17" t="str">
        <f>'Raw Data'!A123</f>
        <v>Australian Open</v>
      </c>
      <c r="B123" s="4" t="str">
        <f>'Raw Data'!B123</f>
        <v>Hady Habib</v>
      </c>
      <c r="C123" s="4">
        <f>'Raw Data'!C123</f>
        <v>219</v>
      </c>
      <c r="D123" s="4">
        <f>'Raw Data'!D123</f>
        <v>0</v>
      </c>
      <c r="E123" s="4" t="str">
        <f>'Raw Data'!J123</f>
        <v>R128</v>
      </c>
      <c r="F123" s="4">
        <f>'Raw Data'!K123</f>
        <v>1</v>
      </c>
      <c r="G123" s="4" t="str">
        <f>'Raw Data'!E123</f>
        <v>R64</v>
      </c>
      <c r="H123" s="4">
        <f>'Raw Data'!F123</f>
        <v>2</v>
      </c>
      <c r="I123" s="18">
        <f>'Raw Data'!L123</f>
        <v>1</v>
      </c>
    </row>
    <row r="124" spans="1:9" x14ac:dyDescent="0.3">
      <c r="A124" s="17" t="str">
        <f>'Raw Data'!A124</f>
        <v>Australian Open</v>
      </c>
      <c r="B124" s="4" t="str">
        <f>'Raw Data'!B124</f>
        <v>Bu Yunchaokete</v>
      </c>
      <c r="C124" s="4">
        <f>'Raw Data'!C124</f>
        <v>65</v>
      </c>
      <c r="D124" s="4">
        <f>'Raw Data'!D124</f>
        <v>0</v>
      </c>
      <c r="E124" s="4" t="str">
        <f>'Raw Data'!J124</f>
        <v>R128</v>
      </c>
      <c r="F124" s="4">
        <f>'Raw Data'!K124</f>
        <v>1</v>
      </c>
      <c r="G124" s="4" t="str">
        <f>'Raw Data'!E124</f>
        <v>R128</v>
      </c>
      <c r="H124" s="4">
        <f>'Raw Data'!F124</f>
        <v>1</v>
      </c>
      <c r="I124" s="18">
        <f>'Raw Data'!L124</f>
        <v>0</v>
      </c>
    </row>
    <row r="125" spans="1:9" x14ac:dyDescent="0.3">
      <c r="A125" s="17" t="str">
        <f>'Raw Data'!A125</f>
        <v>Australian Open</v>
      </c>
      <c r="B125" s="4" t="str">
        <f>'Raw Data'!B125</f>
        <v>Adam Walton</v>
      </c>
      <c r="C125" s="4">
        <f>'Raw Data'!C125</f>
        <v>91</v>
      </c>
      <c r="D125" s="4">
        <f>'Raw Data'!D125</f>
        <v>0</v>
      </c>
      <c r="E125" s="4" t="str">
        <f>'Raw Data'!J125</f>
        <v>R128</v>
      </c>
      <c r="F125" s="4">
        <f>'Raw Data'!K125</f>
        <v>1</v>
      </c>
      <c r="G125" s="4" t="str">
        <f>'Raw Data'!E125</f>
        <v>R128</v>
      </c>
      <c r="H125" s="4">
        <f>'Raw Data'!F125</f>
        <v>1</v>
      </c>
      <c r="I125" s="18">
        <f>'Raw Data'!L125</f>
        <v>0</v>
      </c>
    </row>
    <row r="126" spans="1:9" x14ac:dyDescent="0.3">
      <c r="A126" s="17" t="str">
        <f>'Raw Data'!A126</f>
        <v>Australian Open</v>
      </c>
      <c r="B126" s="4" t="str">
        <f>'Raw Data'!B126</f>
        <v>Arthur Fils</v>
      </c>
      <c r="C126" s="4">
        <f>'Raw Data'!C126</f>
        <v>20</v>
      </c>
      <c r="D126" s="4">
        <f>'Raw Data'!D126</f>
        <v>20</v>
      </c>
      <c r="E126" s="4" t="str">
        <f>'Raw Data'!J126</f>
        <v>R32</v>
      </c>
      <c r="F126" s="4">
        <f>'Raw Data'!K126</f>
        <v>3</v>
      </c>
      <c r="G126" s="4" t="str">
        <f>'Raw Data'!E126</f>
        <v>R32</v>
      </c>
      <c r="H126" s="4">
        <f>'Raw Data'!F126</f>
        <v>3</v>
      </c>
      <c r="I126" s="18">
        <f>'Raw Data'!L126</f>
        <v>0</v>
      </c>
    </row>
    <row r="127" spans="1:9" x14ac:dyDescent="0.3">
      <c r="A127" s="17" t="str">
        <f>'Raw Data'!A127</f>
        <v>Australian Open</v>
      </c>
      <c r="B127" s="4" t="str">
        <f>'Raw Data'!B127</f>
        <v>Sebastian Baez</v>
      </c>
      <c r="C127" s="4">
        <f>'Raw Data'!C127</f>
        <v>28</v>
      </c>
      <c r="D127" s="4">
        <f>'Raw Data'!D127</f>
        <v>28</v>
      </c>
      <c r="E127" s="4" t="str">
        <f>'Raw Data'!J127</f>
        <v>R32</v>
      </c>
      <c r="F127" s="4">
        <f>'Raw Data'!K127</f>
        <v>3</v>
      </c>
      <c r="G127" s="4" t="str">
        <f>'Raw Data'!E127</f>
        <v>R128</v>
      </c>
      <c r="H127" s="4">
        <f>'Raw Data'!F127</f>
        <v>1</v>
      </c>
      <c r="I127" s="18">
        <f>'Raw Data'!L127</f>
        <v>-2</v>
      </c>
    </row>
    <row r="128" spans="1:9" x14ac:dyDescent="0.3">
      <c r="A128" s="17" t="str">
        <f>'Raw Data'!A128</f>
        <v>Australian Open</v>
      </c>
      <c r="B128" s="4" t="str">
        <f>'Raw Data'!B128</f>
        <v>Otto Virtanen</v>
      </c>
      <c r="C128" s="4">
        <f>'Raw Data'!C128</f>
        <v>92</v>
      </c>
      <c r="D128" s="4">
        <f>'Raw Data'!D128</f>
        <v>0</v>
      </c>
      <c r="E128" s="4" t="str">
        <f>'Raw Data'!J128</f>
        <v>R128</v>
      </c>
      <c r="F128" s="4">
        <f>'Raw Data'!K128</f>
        <v>1</v>
      </c>
      <c r="G128" s="4" t="str">
        <f>'Raw Data'!E128</f>
        <v>R128</v>
      </c>
      <c r="H128" s="4">
        <f>'Raw Data'!F128</f>
        <v>1</v>
      </c>
      <c r="I128" s="18">
        <f>'Raw Data'!L128</f>
        <v>0</v>
      </c>
    </row>
    <row r="129" spans="1:9" x14ac:dyDescent="0.3">
      <c r="A129" s="17" t="str">
        <f>'Raw Data'!A129</f>
        <v>Australian Open</v>
      </c>
      <c r="B129" s="4" t="str">
        <f>'Raw Data'!B129</f>
        <v>Arthur Cazaux</v>
      </c>
      <c r="C129" s="4">
        <f>'Raw Data'!C129</f>
        <v>80</v>
      </c>
      <c r="D129" s="4">
        <f>'Raw Data'!D129</f>
        <v>0</v>
      </c>
      <c r="E129" s="4" t="str">
        <f>'Raw Data'!J129</f>
        <v>R128</v>
      </c>
      <c r="F129" s="4">
        <f>'Raw Data'!K129</f>
        <v>1</v>
      </c>
      <c r="G129" s="4" t="str">
        <f>'Raw Data'!E129</f>
        <v>R64</v>
      </c>
      <c r="H129" s="4">
        <f>'Raw Data'!F129</f>
        <v>2</v>
      </c>
      <c r="I129" s="18">
        <f>'Raw Data'!L129</f>
        <v>1</v>
      </c>
    </row>
    <row r="130" spans="1:9" x14ac:dyDescent="0.3">
      <c r="A130" s="17" t="str">
        <f>'Raw Data'!A130</f>
        <v>Australian Open</v>
      </c>
      <c r="B130" s="4" t="str">
        <f>'Raw Data'!B130</f>
        <v>Jacob Fearnley</v>
      </c>
      <c r="C130" s="4">
        <f>'Raw Data'!C130</f>
        <v>86</v>
      </c>
      <c r="D130" s="4">
        <f>'Raw Data'!D130</f>
        <v>0</v>
      </c>
      <c r="E130" s="4" t="str">
        <f>'Raw Data'!J130</f>
        <v>R128</v>
      </c>
      <c r="F130" s="4">
        <f>'Raw Data'!K130</f>
        <v>1</v>
      </c>
      <c r="G130" s="4" t="str">
        <f>'Raw Data'!E130</f>
        <v>R32</v>
      </c>
      <c r="H130" s="4">
        <f>'Raw Data'!F130</f>
        <v>3</v>
      </c>
      <c r="I130" s="18">
        <f>'Raw Data'!L130</f>
        <v>2</v>
      </c>
    </row>
    <row r="131" spans="1:9" x14ac:dyDescent="0.3">
      <c r="A131" s="17" t="str">
        <f>'Raw Data'!A131</f>
        <v>Australian Open</v>
      </c>
      <c r="B131" s="4" t="str">
        <f>'Raw Data'!B131</f>
        <v>Nick Kyrgios</v>
      </c>
      <c r="C131" s="4" t="str">
        <f>'Raw Data'!C131</f>
        <v>**</v>
      </c>
      <c r="D131" s="4">
        <f>'Raw Data'!D131</f>
        <v>0</v>
      </c>
      <c r="E131" s="4">
        <f>'Raw Data'!J131</f>
        <v>0</v>
      </c>
      <c r="F131" s="4">
        <f>'Raw Data'!K131</f>
        <v>0</v>
      </c>
      <c r="G131" s="4" t="str">
        <f>'Raw Data'!E131</f>
        <v>R128</v>
      </c>
      <c r="H131" s="4">
        <f>'Raw Data'!F131</f>
        <v>1</v>
      </c>
      <c r="I131" s="18">
        <f>'Raw Data'!L131</f>
        <v>0</v>
      </c>
    </row>
    <row r="132" spans="1:9" x14ac:dyDescent="0.3">
      <c r="A132" s="17" t="str">
        <f>'Raw Data'!A132</f>
        <v>Australian Open</v>
      </c>
      <c r="B132" s="4" t="str">
        <f>'Raw Data'!B132</f>
        <v>Luciano Darderi</v>
      </c>
      <c r="C132" s="4">
        <f>'Raw Data'!C132</f>
        <v>44</v>
      </c>
      <c r="D132" s="4">
        <f>'Raw Data'!D132</f>
        <v>0</v>
      </c>
      <c r="E132" s="4" t="str">
        <f>'Raw Data'!J132</f>
        <v>R64</v>
      </c>
      <c r="F132" s="4">
        <f>'Raw Data'!K132</f>
        <v>2</v>
      </c>
      <c r="G132" s="4" t="str">
        <f>'Raw Data'!E132</f>
        <v>R128</v>
      </c>
      <c r="H132" s="4">
        <f>'Raw Data'!F132</f>
        <v>1</v>
      </c>
      <c r="I132" s="18">
        <f>'Raw Data'!L132</f>
        <v>-1</v>
      </c>
    </row>
    <row r="133" spans="1:9" x14ac:dyDescent="0.3">
      <c r="A133" s="17" t="str">
        <f>'Raw Data'!A133</f>
        <v>Roland Garros</v>
      </c>
      <c r="B133" s="4" t="str">
        <f>'Raw Data'!B133</f>
        <v>Alexander Zverev</v>
      </c>
      <c r="C133" s="4">
        <f>'Raw Data'!C133</f>
        <v>3</v>
      </c>
      <c r="D133" s="4">
        <f>'Raw Data'!D133</f>
        <v>3</v>
      </c>
      <c r="E133" s="4" t="str">
        <f>'Raw Data'!J133</f>
        <v>Semi-final</v>
      </c>
      <c r="F133" s="4">
        <f>'Raw Data'!K133</f>
        <v>6</v>
      </c>
      <c r="G133" s="4" t="str">
        <f>'Raw Data'!E133</f>
        <v>Quarter-final</v>
      </c>
      <c r="H133" s="4">
        <f>'Raw Data'!F133</f>
        <v>5</v>
      </c>
      <c r="I133" s="18">
        <f>'Raw Data'!L133</f>
        <v>-1</v>
      </c>
    </row>
    <row r="134" spans="1:9" x14ac:dyDescent="0.3">
      <c r="A134" s="17" t="str">
        <f>'Raw Data'!A134</f>
        <v>Roland Garros</v>
      </c>
      <c r="B134" s="4" t="str">
        <f>'Raw Data'!B134</f>
        <v>Carlos Alcaraz</v>
      </c>
      <c r="C134" s="4">
        <f>'Raw Data'!C134</f>
        <v>2</v>
      </c>
      <c r="D134" s="4">
        <f>'Raw Data'!D134</f>
        <v>2</v>
      </c>
      <c r="E134" s="4" t="str">
        <f>'Raw Data'!J134</f>
        <v>Final</v>
      </c>
      <c r="F134" s="4">
        <f>'Raw Data'!K134</f>
        <v>7</v>
      </c>
      <c r="G134" s="4" t="str">
        <f>'Raw Data'!E134</f>
        <v xml:space="preserve">Winner </v>
      </c>
      <c r="H134" s="4">
        <f>'Raw Data'!F134</f>
        <v>8</v>
      </c>
      <c r="I134" s="18">
        <f>'Raw Data'!L134</f>
        <v>1</v>
      </c>
    </row>
    <row r="135" spans="1:9" x14ac:dyDescent="0.3">
      <c r="A135" s="17" t="str">
        <f>'Raw Data'!A135</f>
        <v>Roland Garros</v>
      </c>
      <c r="B135" s="4" t="str">
        <f>'Raw Data'!B135</f>
        <v>Jannik Sinner</v>
      </c>
      <c r="C135" s="4">
        <f>'Raw Data'!C135</f>
        <v>1</v>
      </c>
      <c r="D135" s="4">
        <f>'Raw Data'!D135</f>
        <v>1</v>
      </c>
      <c r="E135" s="4" t="str">
        <f>'Raw Data'!J135</f>
        <v>Final</v>
      </c>
      <c r="F135" s="4">
        <f>'Raw Data'!K135</f>
        <v>7</v>
      </c>
      <c r="G135" s="4" t="str">
        <f>'Raw Data'!E135</f>
        <v xml:space="preserve">Final </v>
      </c>
      <c r="H135" s="4">
        <f>'Raw Data'!F135</f>
        <v>7</v>
      </c>
      <c r="I135" s="18">
        <f>'Raw Data'!L135</f>
        <v>0</v>
      </c>
    </row>
    <row r="136" spans="1:9" x14ac:dyDescent="0.3">
      <c r="A136" s="17" t="str">
        <f>'Raw Data'!A136</f>
        <v>Roland Garros</v>
      </c>
      <c r="B136" s="4" t="str">
        <f>'Raw Data'!B136</f>
        <v>Novak Djokovic</v>
      </c>
      <c r="C136" s="4">
        <f>'Raw Data'!C136</f>
        <v>6</v>
      </c>
      <c r="D136" s="4">
        <f>'Raw Data'!D136</f>
        <v>6</v>
      </c>
      <c r="E136" s="4" t="str">
        <f>'Raw Data'!J136</f>
        <v>Quarter-final</v>
      </c>
      <c r="F136" s="4">
        <f>'Raw Data'!K136</f>
        <v>5</v>
      </c>
      <c r="G136" s="4" t="str">
        <f>'Raw Data'!E136</f>
        <v>Semi-final</v>
      </c>
      <c r="H136" s="4">
        <f>'Raw Data'!F136</f>
        <v>6</v>
      </c>
      <c r="I136" s="18">
        <f>'Raw Data'!L136</f>
        <v>1</v>
      </c>
    </row>
    <row r="137" spans="1:9" x14ac:dyDescent="0.3">
      <c r="A137" s="17" t="str">
        <f>'Raw Data'!A137</f>
        <v>Roland Garros</v>
      </c>
      <c r="B137" s="4" t="str">
        <f>'Raw Data'!B137</f>
        <v>Lorenzo Musetti</v>
      </c>
      <c r="C137" s="4">
        <f>'Raw Data'!C137</f>
        <v>8</v>
      </c>
      <c r="D137" s="4">
        <f>'Raw Data'!D137</f>
        <v>8</v>
      </c>
      <c r="E137" s="4" t="str">
        <f>'Raw Data'!J137</f>
        <v>Quarter-final</v>
      </c>
      <c r="F137" s="4">
        <f>'Raw Data'!K137</f>
        <v>5</v>
      </c>
      <c r="G137" s="4" t="str">
        <f>'Raw Data'!E137</f>
        <v>Semi-final</v>
      </c>
      <c r="H137" s="4">
        <f>'Raw Data'!F137</f>
        <v>6</v>
      </c>
      <c r="I137" s="18">
        <f>'Raw Data'!L137</f>
        <v>1</v>
      </c>
    </row>
    <row r="138" spans="1:9" x14ac:dyDescent="0.3">
      <c r="A138" s="17" t="str">
        <f>'Raw Data'!A138</f>
        <v>Roland Garros</v>
      </c>
      <c r="B138" s="4" t="str">
        <f>'Raw Data'!B138</f>
        <v>Alexander Bublik</v>
      </c>
      <c r="C138" s="4">
        <f>'Raw Data'!C138</f>
        <v>51</v>
      </c>
      <c r="D138" s="4">
        <f>'Raw Data'!D138</f>
        <v>0</v>
      </c>
      <c r="E138" s="4" t="str">
        <f>'Raw Data'!J138</f>
        <v>R64</v>
      </c>
      <c r="F138" s="4">
        <f>'Raw Data'!K138</f>
        <v>2</v>
      </c>
      <c r="G138" s="4" t="str">
        <f>'Raw Data'!E138</f>
        <v>Quarter-final</v>
      </c>
      <c r="H138" s="4">
        <f>'Raw Data'!F138</f>
        <v>5</v>
      </c>
      <c r="I138" s="18">
        <f>'Raw Data'!L138</f>
        <v>3</v>
      </c>
    </row>
    <row r="139" spans="1:9" x14ac:dyDescent="0.3">
      <c r="A139" s="17" t="str">
        <f>'Raw Data'!A139</f>
        <v>Roland Garros</v>
      </c>
      <c r="B139" s="4" t="str">
        <f>'Raw Data'!B139</f>
        <v>Stan Wawrinka</v>
      </c>
      <c r="C139" s="4">
        <f>'Raw Data'!C139</f>
        <v>139</v>
      </c>
      <c r="D139" s="4">
        <f>'Raw Data'!D139</f>
        <v>0</v>
      </c>
      <c r="E139" s="4" t="str">
        <f>'Raw Data'!J139</f>
        <v>R128</v>
      </c>
      <c r="F139" s="4">
        <f>'Raw Data'!K139</f>
        <v>1</v>
      </c>
      <c r="G139" s="4" t="str">
        <f>'Raw Data'!E139</f>
        <v>R128</v>
      </c>
      <c r="H139" s="4">
        <f>'Raw Data'!F139</f>
        <v>1</v>
      </c>
      <c r="I139" s="18">
        <f>'Raw Data'!L139</f>
        <v>0</v>
      </c>
    </row>
    <row r="140" spans="1:9" x14ac:dyDescent="0.3">
      <c r="A140" s="17" t="str">
        <f>'Raw Data'!A140</f>
        <v>Roland Garros</v>
      </c>
      <c r="B140" s="4" t="str">
        <f>'Raw Data'!B140</f>
        <v>Tommy Paul</v>
      </c>
      <c r="C140" s="4">
        <f>'Raw Data'!C140</f>
        <v>12</v>
      </c>
      <c r="D140" s="4">
        <f>'Raw Data'!D140</f>
        <v>12</v>
      </c>
      <c r="E140" s="4" t="str">
        <f>'Raw Data'!J140</f>
        <v>R16</v>
      </c>
      <c r="F140" s="4">
        <f>'Raw Data'!K140</f>
        <v>4</v>
      </c>
      <c r="G140" s="4" t="str">
        <f>'Raw Data'!E140</f>
        <v>Quarter-final</v>
      </c>
      <c r="H140" s="4">
        <f>'Raw Data'!F140</f>
        <v>5</v>
      </c>
      <c r="I140" s="18">
        <f>'Raw Data'!L140</f>
        <v>1</v>
      </c>
    </row>
    <row r="141" spans="1:9" x14ac:dyDescent="0.3">
      <c r="A141" s="17" t="str">
        <f>'Raw Data'!A141</f>
        <v>Roland Garros</v>
      </c>
      <c r="B141" s="4" t="str">
        <f>'Raw Data'!B141</f>
        <v>Richard Gasquet</v>
      </c>
      <c r="C141" s="4">
        <f>'Raw Data'!C141</f>
        <v>166</v>
      </c>
      <c r="D141" s="4">
        <f>'Raw Data'!D141</f>
        <v>0</v>
      </c>
      <c r="E141" s="4" t="str">
        <f>'Raw Data'!J141</f>
        <v>R128</v>
      </c>
      <c r="F141" s="4">
        <f>'Raw Data'!K141</f>
        <v>1</v>
      </c>
      <c r="G141" s="4" t="str">
        <f>'Raw Data'!E141</f>
        <v>R64</v>
      </c>
      <c r="H141" s="4">
        <f>'Raw Data'!F141</f>
        <v>2</v>
      </c>
      <c r="I141" s="18">
        <f>'Raw Data'!L141</f>
        <v>1</v>
      </c>
    </row>
    <row r="142" spans="1:9" x14ac:dyDescent="0.3">
      <c r="A142" s="17" t="str">
        <f>'Raw Data'!A142</f>
        <v>Roland Garros</v>
      </c>
      <c r="B142" s="4" t="str">
        <f>'Raw Data'!B142</f>
        <v>Frances Tiafoe</v>
      </c>
      <c r="C142" s="4">
        <f>'Raw Data'!C142</f>
        <v>15</v>
      </c>
      <c r="D142" s="4">
        <f>'Raw Data'!D142</f>
        <v>15</v>
      </c>
      <c r="E142" s="4" t="str">
        <f>'Raw Data'!J142</f>
        <v>R16</v>
      </c>
      <c r="F142" s="4">
        <f>'Raw Data'!K142</f>
        <v>4</v>
      </c>
      <c r="G142" s="4" t="str">
        <f>'Raw Data'!E142</f>
        <v>Quarter-final</v>
      </c>
      <c r="H142" s="4">
        <f>'Raw Data'!F142</f>
        <v>5</v>
      </c>
      <c r="I142" s="18">
        <f>'Raw Data'!L142</f>
        <v>1</v>
      </c>
    </row>
    <row r="143" spans="1:9" x14ac:dyDescent="0.3">
      <c r="A143" s="17" t="str">
        <f>'Raw Data'!A143</f>
        <v>Roland Garros</v>
      </c>
      <c r="B143" s="4" t="str">
        <f>'Raw Data'!B143</f>
        <v>Andrey Rublev</v>
      </c>
      <c r="C143" s="4">
        <f>'Raw Data'!C143</f>
        <v>17</v>
      </c>
      <c r="D143" s="4">
        <f>'Raw Data'!D143</f>
        <v>17</v>
      </c>
      <c r="E143" s="4" t="str">
        <f>'Raw Data'!J143</f>
        <v>R32</v>
      </c>
      <c r="F143" s="4">
        <f>'Raw Data'!K143</f>
        <v>3</v>
      </c>
      <c r="G143" s="4" t="str">
        <f>'Raw Data'!E143</f>
        <v>R16</v>
      </c>
      <c r="H143" s="4">
        <f>'Raw Data'!F143</f>
        <v>4</v>
      </c>
      <c r="I143" s="18">
        <f>'Raw Data'!L143</f>
        <v>1</v>
      </c>
    </row>
    <row r="144" spans="1:9" x14ac:dyDescent="0.3">
      <c r="A144" s="17" t="str">
        <f>'Raw Data'!A144</f>
        <v>Roland Garros</v>
      </c>
      <c r="B144" s="4" t="str">
        <f>'Raw Data'!B144</f>
        <v>Gael Monfils</v>
      </c>
      <c r="C144" s="4">
        <f>'Raw Data'!C144</f>
        <v>42</v>
      </c>
      <c r="D144" s="4">
        <f>'Raw Data'!D144</f>
        <v>0</v>
      </c>
      <c r="E144" s="4" t="str">
        <f>'Raw Data'!J144</f>
        <v>R64</v>
      </c>
      <c r="F144" s="4">
        <f>'Raw Data'!K144</f>
        <v>2</v>
      </c>
      <c r="G144" s="4" t="str">
        <f>'Raw Data'!E144</f>
        <v>R64</v>
      </c>
      <c r="H144" s="4">
        <f>'Raw Data'!F144</f>
        <v>2</v>
      </c>
      <c r="I144" s="18">
        <f>'Raw Data'!L144</f>
        <v>0</v>
      </c>
    </row>
    <row r="145" spans="1:9" x14ac:dyDescent="0.3">
      <c r="A145" s="17" t="str">
        <f>'Raw Data'!A145</f>
        <v>Roland Garros</v>
      </c>
      <c r="B145" s="4" t="str">
        <f>'Raw Data'!B145</f>
        <v>Ben Shelton</v>
      </c>
      <c r="C145" s="4">
        <f>'Raw Data'!C145</f>
        <v>13</v>
      </c>
      <c r="D145" s="4">
        <f>'Raw Data'!D145</f>
        <v>13</v>
      </c>
      <c r="E145" s="4" t="str">
        <f>'Raw Data'!J145</f>
        <v>R16</v>
      </c>
      <c r="F145" s="4">
        <f>'Raw Data'!K145</f>
        <v>4</v>
      </c>
      <c r="G145" s="4" t="str">
        <f>'Raw Data'!E145</f>
        <v>R16</v>
      </c>
      <c r="H145" s="4">
        <f>'Raw Data'!F145</f>
        <v>4</v>
      </c>
      <c r="I145" s="18">
        <f>'Raw Data'!L145</f>
        <v>0</v>
      </c>
    </row>
    <row r="146" spans="1:9" x14ac:dyDescent="0.3">
      <c r="A146" s="17" t="str">
        <f>'Raw Data'!A146</f>
        <v>Roland Garros</v>
      </c>
      <c r="B146" s="4" t="str">
        <f>'Raw Data'!B146</f>
        <v>Tallon Griekspoor</v>
      </c>
      <c r="C146" s="4">
        <f>'Raw Data'!C146</f>
        <v>34</v>
      </c>
      <c r="D146" s="4">
        <f>'Raw Data'!D146</f>
        <v>0</v>
      </c>
      <c r="E146" s="4" t="str">
        <f>'Raw Data'!J146</f>
        <v>R64</v>
      </c>
      <c r="F146" s="4">
        <f>'Raw Data'!K146</f>
        <v>2</v>
      </c>
      <c r="G146" s="4" t="str">
        <f>'Raw Data'!E146</f>
        <v>R16</v>
      </c>
      <c r="H146" s="4">
        <f>'Raw Data'!F146</f>
        <v>4</v>
      </c>
      <c r="I146" s="18">
        <f>'Raw Data'!L146</f>
        <v>2</v>
      </c>
    </row>
    <row r="147" spans="1:9" x14ac:dyDescent="0.3">
      <c r="A147" s="17" t="str">
        <f>'Raw Data'!A147</f>
        <v>Roland Garros</v>
      </c>
      <c r="B147" s="4" t="str">
        <f>'Raw Data'!B147</f>
        <v>Jack Draper</v>
      </c>
      <c r="C147" s="4">
        <f>'Raw Data'!C147</f>
        <v>5</v>
      </c>
      <c r="D147" s="4">
        <f>'Raw Data'!D147</f>
        <v>5</v>
      </c>
      <c r="E147" s="4" t="str">
        <f>'Raw Data'!J147</f>
        <v>Quarter-final</v>
      </c>
      <c r="F147" s="4">
        <f>'Raw Data'!K147</f>
        <v>5</v>
      </c>
      <c r="G147" s="4" t="str">
        <f>'Raw Data'!E147</f>
        <v>R16</v>
      </c>
      <c r="H147" s="4">
        <f>'Raw Data'!F147</f>
        <v>4</v>
      </c>
      <c r="I147" s="18">
        <f>'Raw Data'!L147</f>
        <v>-1</v>
      </c>
    </row>
    <row r="148" spans="1:9" x14ac:dyDescent="0.3">
      <c r="A148" s="17" t="str">
        <f>'Raw Data'!A148</f>
        <v>Roland Garros</v>
      </c>
      <c r="B148" s="4" t="str">
        <f>'Raw Data'!B148</f>
        <v>Damir Dzumhur</v>
      </c>
      <c r="C148" s="4">
        <f>'Raw Data'!C148</f>
        <v>69</v>
      </c>
      <c r="D148" s="4">
        <f>'Raw Data'!D148</f>
        <v>0</v>
      </c>
      <c r="E148" s="4" t="str">
        <f>'Raw Data'!J148</f>
        <v>R128</v>
      </c>
      <c r="F148" s="4">
        <f>'Raw Data'!K148</f>
        <v>1</v>
      </c>
      <c r="G148" s="4" t="str">
        <f>'Raw Data'!E148</f>
        <v>R32</v>
      </c>
      <c r="H148" s="4">
        <f>'Raw Data'!F148</f>
        <v>3</v>
      </c>
      <c r="I148" s="18">
        <f>'Raw Data'!L148</f>
        <v>2</v>
      </c>
    </row>
    <row r="149" spans="1:9" x14ac:dyDescent="0.3">
      <c r="A149" s="17" t="str">
        <f>'Raw Data'!A149</f>
        <v>Roland Garros</v>
      </c>
      <c r="B149" s="4" t="str">
        <f>'Raw Data'!B149</f>
        <v>Cameron Norrie</v>
      </c>
      <c r="C149" s="4">
        <f>'Raw Data'!C149</f>
        <v>90</v>
      </c>
      <c r="D149" s="4">
        <f>'Raw Data'!D149</f>
        <v>0</v>
      </c>
      <c r="E149" s="4" t="str">
        <f>'Raw Data'!J149</f>
        <v>R128</v>
      </c>
      <c r="F149" s="4">
        <f>'Raw Data'!K149</f>
        <v>1</v>
      </c>
      <c r="G149" s="4" t="str">
        <f>'Raw Data'!E149</f>
        <v>R16</v>
      </c>
      <c r="H149" s="4">
        <f>'Raw Data'!F149</f>
        <v>4</v>
      </c>
      <c r="I149" s="18">
        <f>'Raw Data'!L149</f>
        <v>3</v>
      </c>
    </row>
    <row r="150" spans="1:9" x14ac:dyDescent="0.3">
      <c r="A150" s="17" t="str">
        <f>'Raw Data'!A150</f>
        <v>Roland Garros</v>
      </c>
      <c r="B150" s="4" t="str">
        <f>'Raw Data'!B150</f>
        <v>Holger Rune</v>
      </c>
      <c r="C150" s="4">
        <f>'Raw Data'!C150</f>
        <v>10</v>
      </c>
      <c r="D150" s="4">
        <f>'Raw Data'!D150</f>
        <v>10</v>
      </c>
      <c r="E150" s="4" t="str">
        <f>'Raw Data'!J150</f>
        <v>R16</v>
      </c>
      <c r="F150" s="4">
        <f>'Raw Data'!K150</f>
        <v>4</v>
      </c>
      <c r="G150" s="4" t="str">
        <f>'Raw Data'!E150</f>
        <v>R16</v>
      </c>
      <c r="H150" s="4">
        <f>'Raw Data'!F150</f>
        <v>4</v>
      </c>
      <c r="I150" s="18">
        <f>'Raw Data'!L150</f>
        <v>0</v>
      </c>
    </row>
    <row r="151" spans="1:9" x14ac:dyDescent="0.3">
      <c r="A151" s="17" t="str">
        <f>'Raw Data'!A151</f>
        <v>Roland Garros</v>
      </c>
      <c r="B151" s="4" t="str">
        <f>'Raw Data'!B151</f>
        <v>Alexei Popyrin</v>
      </c>
      <c r="C151" s="4">
        <f>'Raw Data'!C151</f>
        <v>25</v>
      </c>
      <c r="D151" s="4">
        <f>'Raw Data'!D151</f>
        <v>25</v>
      </c>
      <c r="E151" s="4" t="str">
        <f>'Raw Data'!J151</f>
        <v>R32</v>
      </c>
      <c r="F151" s="4">
        <f>'Raw Data'!K151</f>
        <v>3</v>
      </c>
      <c r="G151" s="4" t="str">
        <f>'Raw Data'!E151</f>
        <v>R16</v>
      </c>
      <c r="H151" s="4">
        <f>'Raw Data'!F151</f>
        <v>4</v>
      </c>
      <c r="I151" s="18">
        <f>'Raw Data'!L151</f>
        <v>1</v>
      </c>
    </row>
    <row r="152" spans="1:9" x14ac:dyDescent="0.3">
      <c r="A152" s="17" t="str">
        <f>'Raw Data'!A152</f>
        <v>Roland Garros</v>
      </c>
      <c r="B152" s="4" t="str">
        <f>'Raw Data'!B152</f>
        <v>Albert Ramos</v>
      </c>
      <c r="C152" s="4">
        <f>'Raw Data'!C152</f>
        <v>248</v>
      </c>
      <c r="D152" s="4">
        <f>'Raw Data'!D152</f>
        <v>0</v>
      </c>
      <c r="E152" s="4" t="str">
        <f>'Raw Data'!J152</f>
        <v>R128</v>
      </c>
      <c r="F152" s="4">
        <f>'Raw Data'!K152</f>
        <v>1</v>
      </c>
      <c r="G152" s="4" t="str">
        <f>'Raw Data'!E152</f>
        <v>R128</v>
      </c>
      <c r="H152" s="4">
        <f>'Raw Data'!F152</f>
        <v>1</v>
      </c>
      <c r="I152" s="18">
        <f>'Raw Data'!L152</f>
        <v>0</v>
      </c>
    </row>
    <row r="153" spans="1:9" x14ac:dyDescent="0.3">
      <c r="A153" s="17" t="str">
        <f>'Raw Data'!A153</f>
        <v>Roland Garros</v>
      </c>
      <c r="B153" s="4" t="str">
        <f>'Raw Data'!B153</f>
        <v>Daniel Altmaier</v>
      </c>
      <c r="C153" s="4">
        <f>'Raw Data'!C153</f>
        <v>66</v>
      </c>
      <c r="D153" s="4">
        <f>'Raw Data'!D153</f>
        <v>0</v>
      </c>
      <c r="E153" s="4" t="str">
        <f>'Raw Data'!J153</f>
        <v>R128</v>
      </c>
      <c r="F153" s="4">
        <f>'Raw Data'!K153</f>
        <v>1</v>
      </c>
      <c r="G153" s="4" t="str">
        <f>'Raw Data'!E153</f>
        <v>R16</v>
      </c>
      <c r="H153" s="4">
        <f>'Raw Data'!F153</f>
        <v>4</v>
      </c>
      <c r="I153" s="18">
        <f>'Raw Data'!L153</f>
        <v>3</v>
      </c>
    </row>
    <row r="154" spans="1:9" x14ac:dyDescent="0.3">
      <c r="A154" s="17" t="str">
        <f>'Raw Data'!A154</f>
        <v>Roland Garros</v>
      </c>
      <c r="B154" s="4" t="str">
        <f>'Raw Data'!B154</f>
        <v>Jiri Lehecka</v>
      </c>
      <c r="C154" s="4">
        <f>'Raw Data'!C154</f>
        <v>37</v>
      </c>
      <c r="D154" s="4">
        <f>'Raw Data'!D154</f>
        <v>0</v>
      </c>
      <c r="E154" s="4" t="str">
        <f>'Raw Data'!J154</f>
        <v>R64</v>
      </c>
      <c r="F154" s="4">
        <f>'Raw Data'!K154</f>
        <v>2</v>
      </c>
      <c r="G154" s="4" t="str">
        <f>'Raw Data'!E154</f>
        <v>R32</v>
      </c>
      <c r="H154" s="4">
        <f>'Raw Data'!F154</f>
        <v>3</v>
      </c>
      <c r="I154" s="18">
        <f>'Raw Data'!L154</f>
        <v>1</v>
      </c>
    </row>
    <row r="155" spans="1:9" x14ac:dyDescent="0.3">
      <c r="A155" s="17" t="str">
        <f>'Raw Data'!A155</f>
        <v>Roland Garros</v>
      </c>
      <c r="B155" s="4" t="str">
        <f>'Raw Data'!B155</f>
        <v>Roberto Bautista Agut</v>
      </c>
      <c r="C155" s="4">
        <f>'Raw Data'!C155</f>
        <v>57</v>
      </c>
      <c r="D155" s="4">
        <f>'Raw Data'!D155</f>
        <v>0</v>
      </c>
      <c r="E155" s="4" t="str">
        <f>'Raw Data'!J155</f>
        <v>R64</v>
      </c>
      <c r="F155" s="4">
        <f>'Raw Data'!K155</f>
        <v>2</v>
      </c>
      <c r="G155" s="4" t="str">
        <f>'Raw Data'!E155</f>
        <v>R128</v>
      </c>
      <c r="H155" s="4">
        <f>'Raw Data'!F155</f>
        <v>1</v>
      </c>
      <c r="I155" s="18">
        <f>'Raw Data'!L155</f>
        <v>-1</v>
      </c>
    </row>
    <row r="156" spans="1:9" x14ac:dyDescent="0.3">
      <c r="A156" s="17" t="str">
        <f>'Raw Data'!A156</f>
        <v>Roland Garros</v>
      </c>
      <c r="B156" s="4" t="str">
        <f>'Raw Data'!B156</f>
        <v>Flavio Cobolli</v>
      </c>
      <c r="C156" s="4">
        <f>'Raw Data'!C156</f>
        <v>35</v>
      </c>
      <c r="D156" s="4">
        <f>'Raw Data'!D156</f>
        <v>0</v>
      </c>
      <c r="E156" s="4" t="str">
        <f>'Raw Data'!J156</f>
        <v>R64</v>
      </c>
      <c r="F156" s="4">
        <f>'Raw Data'!K156</f>
        <v>2</v>
      </c>
      <c r="G156" s="4" t="str">
        <f>'Raw Data'!E156</f>
        <v>R32</v>
      </c>
      <c r="H156" s="4">
        <f>'Raw Data'!F156</f>
        <v>3</v>
      </c>
      <c r="I156" s="18">
        <f>'Raw Data'!L156</f>
        <v>1</v>
      </c>
    </row>
    <row r="157" spans="1:9" x14ac:dyDescent="0.3">
      <c r="A157" s="17" t="str">
        <f>'Raw Data'!A157</f>
        <v>Roland Garros</v>
      </c>
      <c r="B157" s="4" t="str">
        <f>'Raw Data'!B157</f>
        <v>Joao Fonseca</v>
      </c>
      <c r="C157" s="4">
        <f>'Raw Data'!C157</f>
        <v>65</v>
      </c>
      <c r="D157" s="4">
        <f>'Raw Data'!D157</f>
        <v>0</v>
      </c>
      <c r="E157" s="4" t="str">
        <f>'Raw Data'!J157</f>
        <v>R128</v>
      </c>
      <c r="F157" s="4">
        <f>'Raw Data'!K157</f>
        <v>1</v>
      </c>
      <c r="G157" s="4" t="str">
        <f>'Raw Data'!E157</f>
        <v>R32</v>
      </c>
      <c r="H157" s="4">
        <f>'Raw Data'!F157</f>
        <v>3</v>
      </c>
      <c r="I157" s="18">
        <f>'Raw Data'!L157</f>
        <v>2</v>
      </c>
    </row>
    <row r="158" spans="1:9" x14ac:dyDescent="0.3">
      <c r="A158" s="17" t="str">
        <f>'Raw Data'!A158</f>
        <v>Roland Garros</v>
      </c>
      <c r="B158" s="4" t="str">
        <f>'Raw Data'!B158</f>
        <v>Marin Cilic</v>
      </c>
      <c r="C158" s="4">
        <f>'Raw Data'!C158</f>
        <v>104</v>
      </c>
      <c r="D158" s="4">
        <f>'Raw Data'!D158</f>
        <v>0</v>
      </c>
      <c r="E158" s="4" t="str">
        <f>'Raw Data'!J158</f>
        <v>R128</v>
      </c>
      <c r="F158" s="4">
        <f>'Raw Data'!K158</f>
        <v>1</v>
      </c>
      <c r="G158" s="4" t="str">
        <f>'Raw Data'!E158</f>
        <v>R128</v>
      </c>
      <c r="H158" s="4">
        <f>'Raw Data'!F158</f>
        <v>1</v>
      </c>
      <c r="I158" s="18">
        <f>'Raw Data'!L158</f>
        <v>0</v>
      </c>
    </row>
    <row r="159" spans="1:9" x14ac:dyDescent="0.3">
      <c r="A159" s="17" t="str">
        <f>'Raw Data'!A159</f>
        <v>Roland Garros</v>
      </c>
      <c r="B159" s="4" t="str">
        <f>'Raw Data'!B159</f>
        <v>Filip Misolic</v>
      </c>
      <c r="C159" s="4">
        <f>'Raw Data'!C159</f>
        <v>155</v>
      </c>
      <c r="D159" s="4">
        <f>'Raw Data'!D159</f>
        <v>0</v>
      </c>
      <c r="E159" s="4" t="str">
        <f>'Raw Data'!J159</f>
        <v>R128</v>
      </c>
      <c r="F159" s="4">
        <f>'Raw Data'!K159</f>
        <v>1</v>
      </c>
      <c r="G159" s="4" t="str">
        <f>'Raw Data'!E159</f>
        <v>R32</v>
      </c>
      <c r="H159" s="4">
        <f>'Raw Data'!F159</f>
        <v>3</v>
      </c>
      <c r="I159" s="18">
        <f>'Raw Data'!L159</f>
        <v>2</v>
      </c>
    </row>
    <row r="160" spans="1:9" x14ac:dyDescent="0.3">
      <c r="A160" s="17" t="str">
        <f>'Raw Data'!A160</f>
        <v>Roland Garros</v>
      </c>
      <c r="B160" s="4" t="str">
        <f>'Raw Data'!B160</f>
        <v>Mariano Navone</v>
      </c>
      <c r="C160" s="4">
        <f>'Raw Data'!C160</f>
        <v>98</v>
      </c>
      <c r="D160" s="4">
        <f>'Raw Data'!D160</f>
        <v>0</v>
      </c>
      <c r="E160" s="4" t="str">
        <f>'Raw Data'!J160</f>
        <v>R128</v>
      </c>
      <c r="F160" s="4">
        <f>'Raw Data'!K160</f>
        <v>1</v>
      </c>
      <c r="G160" s="4" t="str">
        <f>'Raw Data'!E160</f>
        <v>R32</v>
      </c>
      <c r="H160" s="4">
        <f>'Raw Data'!F160</f>
        <v>3</v>
      </c>
      <c r="I160" s="18">
        <f>'Raw Data'!L160</f>
        <v>2</v>
      </c>
    </row>
    <row r="161" spans="1:9" x14ac:dyDescent="0.3">
      <c r="A161" s="17" t="str">
        <f>'Raw Data'!A161</f>
        <v>Roland Garros</v>
      </c>
      <c r="B161" s="4" t="str">
        <f>'Raw Data'!B161</f>
        <v>Quentin Halys</v>
      </c>
      <c r="C161" s="4">
        <f>'Raw Data'!C161</f>
        <v>50</v>
      </c>
      <c r="D161" s="4">
        <f>'Raw Data'!D161</f>
        <v>0</v>
      </c>
      <c r="E161" s="4" t="str">
        <f>'Raw Data'!J161</f>
        <v>R64</v>
      </c>
      <c r="F161" s="4">
        <f>'Raw Data'!K161</f>
        <v>2</v>
      </c>
      <c r="G161" s="4" t="str">
        <f>'Raw Data'!E161</f>
        <v>R32</v>
      </c>
      <c r="H161" s="4">
        <f>'Raw Data'!F161</f>
        <v>3</v>
      </c>
      <c r="I161" s="18">
        <f>'Raw Data'!L161</f>
        <v>1</v>
      </c>
    </row>
    <row r="162" spans="1:9" x14ac:dyDescent="0.3">
      <c r="A162" s="17" t="str">
        <f>'Raw Data'!A162</f>
        <v>Roland Garros</v>
      </c>
      <c r="B162" s="4" t="str">
        <f>'Raw Data'!B162</f>
        <v>Marton Fucsovics</v>
      </c>
      <c r="C162" s="4">
        <f>'Raw Data'!C162</f>
        <v>134</v>
      </c>
      <c r="D162" s="4">
        <f>'Raw Data'!D162</f>
        <v>0</v>
      </c>
      <c r="E162" s="4" t="str">
        <f>'Raw Data'!J162</f>
        <v>R128</v>
      </c>
      <c r="F162" s="4">
        <f>'Raw Data'!K162</f>
        <v>1</v>
      </c>
      <c r="G162" s="4" t="str">
        <f>'Raw Data'!E162</f>
        <v>R64</v>
      </c>
      <c r="H162" s="4">
        <f>'Raw Data'!F162</f>
        <v>2</v>
      </c>
      <c r="I162" s="18">
        <f>'Raw Data'!L162</f>
        <v>1</v>
      </c>
    </row>
    <row r="163" spans="1:9" x14ac:dyDescent="0.3">
      <c r="A163" s="17" t="str">
        <f>'Raw Data'!A163</f>
        <v>Roland Garros</v>
      </c>
      <c r="B163" s="4" t="str">
        <f>'Raw Data'!B163</f>
        <v>Karen Khachanov</v>
      </c>
      <c r="C163" s="4">
        <f>'Raw Data'!C163</f>
        <v>24</v>
      </c>
      <c r="D163" s="4">
        <f>'Raw Data'!D163</f>
        <v>24</v>
      </c>
      <c r="E163" s="4" t="str">
        <f>'Raw Data'!J163</f>
        <v>R32</v>
      </c>
      <c r="F163" s="4">
        <f>'Raw Data'!K163</f>
        <v>3</v>
      </c>
      <c r="G163" s="4" t="str">
        <f>'Raw Data'!E163</f>
        <v>R32</v>
      </c>
      <c r="H163" s="4">
        <f>'Raw Data'!F163</f>
        <v>3</v>
      </c>
      <c r="I163" s="18">
        <f>'Raw Data'!L163</f>
        <v>0</v>
      </c>
    </row>
    <row r="164" spans="1:9" x14ac:dyDescent="0.3">
      <c r="A164" s="17" t="str">
        <f>'Raw Data'!A164</f>
        <v>Roland Garros</v>
      </c>
      <c r="B164" s="4" t="str">
        <f>'Raw Data'!B164</f>
        <v>Matteo Gigante</v>
      </c>
      <c r="C164" s="4">
        <f>'Raw Data'!C164</f>
        <v>167</v>
      </c>
      <c r="D164" s="4">
        <f>'Raw Data'!D164</f>
        <v>0</v>
      </c>
      <c r="E164" s="4" t="str">
        <f>'Raw Data'!J164</f>
        <v>R128</v>
      </c>
      <c r="F164" s="4">
        <f>'Raw Data'!K164</f>
        <v>1</v>
      </c>
      <c r="G164" s="4" t="str">
        <f>'Raw Data'!E164</f>
        <v>R32</v>
      </c>
      <c r="H164" s="4">
        <f>'Raw Data'!F164</f>
        <v>3</v>
      </c>
      <c r="I164" s="18">
        <f>'Raw Data'!L164</f>
        <v>2</v>
      </c>
    </row>
    <row r="165" spans="1:9" x14ac:dyDescent="0.3">
      <c r="A165" s="17" t="str">
        <f>'Raw Data'!A165</f>
        <v>Roland Garros</v>
      </c>
      <c r="B165" s="4" t="str">
        <f>'Raw Data'!B165</f>
        <v>Pablo Carreno Busta</v>
      </c>
      <c r="C165" s="4">
        <f>'Raw Data'!C165</f>
        <v>100</v>
      </c>
      <c r="D165" s="4">
        <f>'Raw Data'!D165</f>
        <v>0</v>
      </c>
      <c r="E165" s="4" t="str">
        <f>'Raw Data'!J165</f>
        <v>R128</v>
      </c>
      <c r="F165" s="4">
        <f>'Raw Data'!K165</f>
        <v>1</v>
      </c>
      <c r="G165" s="4" t="str">
        <f>'Raw Data'!E165</f>
        <v>R64</v>
      </c>
      <c r="H165" s="4">
        <f>'Raw Data'!F165</f>
        <v>2</v>
      </c>
      <c r="I165" s="18">
        <f>'Raw Data'!L165</f>
        <v>1</v>
      </c>
    </row>
    <row r="166" spans="1:9" x14ac:dyDescent="0.3">
      <c r="A166" s="17" t="str">
        <f>'Raw Data'!A166</f>
        <v>Roland Garros</v>
      </c>
      <c r="B166" s="4" t="str">
        <f>'Raw Data'!B166</f>
        <v>Arthur Fils</v>
      </c>
      <c r="C166" s="4">
        <f>'Raw Data'!C166</f>
        <v>14</v>
      </c>
      <c r="D166" s="4">
        <f>'Raw Data'!D166</f>
        <v>14</v>
      </c>
      <c r="E166" s="4" t="str">
        <f>'Raw Data'!J166</f>
        <v>R16</v>
      </c>
      <c r="F166" s="4">
        <f>'Raw Data'!K166</f>
        <v>4</v>
      </c>
      <c r="G166" s="4" t="str">
        <f>'Raw Data'!E166</f>
        <v>R32</v>
      </c>
      <c r="H166" s="4">
        <f>'Raw Data'!F166</f>
        <v>3</v>
      </c>
      <c r="I166" s="18">
        <f>'Raw Data'!L166</f>
        <v>-1</v>
      </c>
    </row>
    <row r="167" spans="1:9" x14ac:dyDescent="0.3">
      <c r="A167" s="17" t="str">
        <f>'Raw Data'!A167</f>
        <v>Roland Garros</v>
      </c>
      <c r="B167" s="4" t="str">
        <f>'Raw Data'!B167</f>
        <v>Sebastian Korda</v>
      </c>
      <c r="C167" s="4">
        <f>'Raw Data'!C167</f>
        <v>23</v>
      </c>
      <c r="D167" s="4">
        <f>'Raw Data'!D167</f>
        <v>23</v>
      </c>
      <c r="E167" s="4" t="str">
        <f>'Raw Data'!J167</f>
        <v>R32</v>
      </c>
      <c r="F167" s="4">
        <f>'Raw Data'!K167</f>
        <v>3</v>
      </c>
      <c r="G167" s="4" t="str">
        <f>'Raw Data'!E167</f>
        <v>R32</v>
      </c>
      <c r="H167" s="4">
        <f>'Raw Data'!F167</f>
        <v>3</v>
      </c>
      <c r="I167" s="18">
        <f>'Raw Data'!L167</f>
        <v>0</v>
      </c>
    </row>
    <row r="168" spans="1:9" x14ac:dyDescent="0.3">
      <c r="A168" s="17" t="str">
        <f>'Raw Data'!A168</f>
        <v>Roland Garros</v>
      </c>
      <c r="B168" s="4" t="str">
        <f>'Raw Data'!B168</f>
        <v>Nuno Borges</v>
      </c>
      <c r="C168" s="4">
        <f>'Raw Data'!C168</f>
        <v>41</v>
      </c>
      <c r="D168" s="4">
        <f>'Raw Data'!D168</f>
        <v>0</v>
      </c>
      <c r="E168" s="4" t="str">
        <f>'Raw Data'!J168</f>
        <v>R64</v>
      </c>
      <c r="F168" s="4">
        <f>'Raw Data'!K168</f>
        <v>2</v>
      </c>
      <c r="G168" s="4" t="str">
        <f>'Raw Data'!E168</f>
        <v>R32</v>
      </c>
      <c r="H168" s="4">
        <f>'Raw Data'!F168</f>
        <v>3</v>
      </c>
      <c r="I168" s="18">
        <f>'Raw Data'!L168</f>
        <v>1</v>
      </c>
    </row>
    <row r="169" spans="1:9" x14ac:dyDescent="0.3">
      <c r="A169" s="17" t="str">
        <f>'Raw Data'!A169</f>
        <v>Roland Garros</v>
      </c>
      <c r="B169" s="4" t="str">
        <f>'Raw Data'!B169</f>
        <v>Jan Lennard Struff</v>
      </c>
      <c r="C169" s="4">
        <f>'Raw Data'!C169</f>
        <v>86</v>
      </c>
      <c r="D169" s="4">
        <f>'Raw Data'!D169</f>
        <v>0</v>
      </c>
      <c r="E169" s="4" t="str">
        <f>'Raw Data'!J169</f>
        <v>R128</v>
      </c>
      <c r="F169" s="4">
        <f>'Raw Data'!K169</f>
        <v>1</v>
      </c>
      <c r="G169" s="4" t="str">
        <f>'Raw Data'!E169</f>
        <v>R128</v>
      </c>
      <c r="H169" s="4">
        <f>'Raw Data'!F169</f>
        <v>1</v>
      </c>
      <c r="I169" s="18">
        <f>'Raw Data'!L169</f>
        <v>0</v>
      </c>
    </row>
    <row r="170" spans="1:9" x14ac:dyDescent="0.3">
      <c r="A170" s="17" t="str">
        <f>'Raw Data'!A170</f>
        <v>Roland Garros</v>
      </c>
      <c r="B170" s="4" t="str">
        <f>'Raw Data'!B170</f>
        <v>Hamad Medjedovic</v>
      </c>
      <c r="C170" s="4">
        <f>'Raw Data'!C170</f>
        <v>77</v>
      </c>
      <c r="D170" s="4">
        <f>'Raw Data'!D170</f>
        <v>0</v>
      </c>
      <c r="E170" s="4" t="str">
        <f>'Raw Data'!J170</f>
        <v>R128</v>
      </c>
      <c r="F170" s="4">
        <f>'Raw Data'!K170</f>
        <v>1</v>
      </c>
      <c r="G170" s="4" t="str">
        <f>'Raw Data'!E170</f>
        <v>R32</v>
      </c>
      <c r="H170" s="4">
        <f>'Raw Data'!F170</f>
        <v>3</v>
      </c>
      <c r="I170" s="18">
        <f>'Raw Data'!L170</f>
        <v>2</v>
      </c>
    </row>
    <row r="171" spans="1:9" x14ac:dyDescent="0.3">
      <c r="A171" s="17" t="str">
        <f>'Raw Data'!A171</f>
        <v>Roland Garros</v>
      </c>
      <c r="B171" s="4" t="str">
        <f>'Raw Data'!B171</f>
        <v>Henrique Rocha</v>
      </c>
      <c r="C171" s="4">
        <f>'Raw Data'!C171</f>
        <v>201</v>
      </c>
      <c r="D171" s="4">
        <f>'Raw Data'!D171</f>
        <v>0</v>
      </c>
      <c r="E171" s="4" t="str">
        <f>'Raw Data'!J171</f>
        <v>R128</v>
      </c>
      <c r="F171" s="4">
        <f>'Raw Data'!K171</f>
        <v>1</v>
      </c>
      <c r="G171" s="4" t="str">
        <f>'Raw Data'!E171</f>
        <v>R32</v>
      </c>
      <c r="H171" s="4">
        <f>'Raw Data'!F171</f>
        <v>3</v>
      </c>
      <c r="I171" s="18">
        <f>'Raw Data'!L171</f>
        <v>2</v>
      </c>
    </row>
    <row r="172" spans="1:9" x14ac:dyDescent="0.3">
      <c r="A172" s="17" t="str">
        <f>'Raw Data'!A172</f>
        <v>Roland Garros</v>
      </c>
      <c r="B172" s="4" t="str">
        <f>'Raw Data'!B172</f>
        <v>Ethan Quinn</v>
      </c>
      <c r="C172" s="4">
        <f>'Raw Data'!C172</f>
        <v>106</v>
      </c>
      <c r="D172" s="4">
        <f>'Raw Data'!D172</f>
        <v>0</v>
      </c>
      <c r="E172" s="4" t="str">
        <f>'Raw Data'!J172</f>
        <v>R128</v>
      </c>
      <c r="F172" s="4">
        <f>'Raw Data'!K172</f>
        <v>1</v>
      </c>
      <c r="G172" s="4" t="str">
        <f>'Raw Data'!E172</f>
        <v>R32</v>
      </c>
      <c r="H172" s="4">
        <f>'Raw Data'!F172</f>
        <v>3</v>
      </c>
      <c r="I172" s="18">
        <f>'Raw Data'!L172</f>
        <v>2</v>
      </c>
    </row>
    <row r="173" spans="1:9" x14ac:dyDescent="0.3">
      <c r="A173" s="17" t="str">
        <f>'Raw Data'!A173</f>
        <v>Roland Garros</v>
      </c>
      <c r="B173" s="4" t="str">
        <f>'Raw Data'!B173</f>
        <v>Dusan Lajovic</v>
      </c>
      <c r="C173" s="4">
        <f>'Raw Data'!C173</f>
        <v>124</v>
      </c>
      <c r="D173" s="4">
        <f>'Raw Data'!D173</f>
        <v>0</v>
      </c>
      <c r="E173" s="4" t="str">
        <f>'Raw Data'!J173</f>
        <v>R128</v>
      </c>
      <c r="F173" s="4">
        <f>'Raw Data'!K173</f>
        <v>1</v>
      </c>
      <c r="G173" s="4" t="str">
        <f>'Raw Data'!E173</f>
        <v>R128</v>
      </c>
      <c r="H173" s="4">
        <f>'Raw Data'!F173</f>
        <v>1</v>
      </c>
      <c r="I173" s="18">
        <f>'Raw Data'!L173</f>
        <v>0</v>
      </c>
    </row>
    <row r="174" spans="1:9" x14ac:dyDescent="0.3">
      <c r="A174" s="17" t="str">
        <f>'Raw Data'!A174</f>
        <v>Roland Garros</v>
      </c>
      <c r="B174" s="4" t="str">
        <f>'Raw Data'!B174</f>
        <v>Jacob Fearnley</v>
      </c>
      <c r="C174" s="4">
        <f>'Raw Data'!C174</f>
        <v>54</v>
      </c>
      <c r="D174" s="4">
        <f>'Raw Data'!D174</f>
        <v>0</v>
      </c>
      <c r="E174" s="4" t="str">
        <f>'Raw Data'!J174</f>
        <v>R64</v>
      </c>
      <c r="F174" s="4">
        <f>'Raw Data'!K174</f>
        <v>2</v>
      </c>
      <c r="G174" s="4" t="str">
        <f>'Raw Data'!E174</f>
        <v>R32</v>
      </c>
      <c r="H174" s="4">
        <f>'Raw Data'!F174</f>
        <v>3</v>
      </c>
      <c r="I174" s="18">
        <f>'Raw Data'!L174</f>
        <v>1</v>
      </c>
    </row>
    <row r="175" spans="1:9" x14ac:dyDescent="0.3">
      <c r="A175" s="17" t="str">
        <f>'Raw Data'!A175</f>
        <v>Roland Garros</v>
      </c>
      <c r="B175" s="4" t="str">
        <f>'Raw Data'!B175</f>
        <v>Fabian Marozsan</v>
      </c>
      <c r="C175" s="4">
        <f>'Raw Data'!C175</f>
        <v>56</v>
      </c>
      <c r="D175" s="4">
        <f>'Raw Data'!D175</f>
        <v>0</v>
      </c>
      <c r="E175" s="4" t="str">
        <f>'Raw Data'!J175</f>
        <v>R64</v>
      </c>
      <c r="F175" s="4">
        <f>'Raw Data'!K175</f>
        <v>2</v>
      </c>
      <c r="G175" s="4" t="str">
        <f>'Raw Data'!E175</f>
        <v>R64</v>
      </c>
      <c r="H175" s="4">
        <f>'Raw Data'!F175</f>
        <v>2</v>
      </c>
      <c r="I175" s="18">
        <f>'Raw Data'!L175</f>
        <v>0</v>
      </c>
    </row>
    <row r="176" spans="1:9" x14ac:dyDescent="0.3">
      <c r="A176" s="17" t="str">
        <f>'Raw Data'!A176</f>
        <v>Roland Garros</v>
      </c>
      <c r="B176" s="4" t="str">
        <f>'Raw Data'!B176</f>
        <v>Pierre Hugues Herbert</v>
      </c>
      <c r="C176" s="4">
        <f>'Raw Data'!C176</f>
        <v>149</v>
      </c>
      <c r="D176" s="4">
        <f>'Raw Data'!D176</f>
        <v>0</v>
      </c>
      <c r="E176" s="4" t="str">
        <f>'Raw Data'!J176</f>
        <v>R128</v>
      </c>
      <c r="F176" s="4">
        <f>'Raw Data'!K176</f>
        <v>1</v>
      </c>
      <c r="G176" s="4" t="str">
        <f>'Raw Data'!E176</f>
        <v>R64</v>
      </c>
      <c r="H176" s="4">
        <f>'Raw Data'!F176</f>
        <v>2</v>
      </c>
      <c r="I176" s="18">
        <f>'Raw Data'!L176</f>
        <v>1</v>
      </c>
    </row>
    <row r="177" spans="1:9" x14ac:dyDescent="0.3">
      <c r="A177" s="17" t="str">
        <f>'Raw Data'!A177</f>
        <v>Roland Garros</v>
      </c>
      <c r="B177" s="4" t="str">
        <f>'Raw Data'!B177</f>
        <v>Jesper De Jong</v>
      </c>
      <c r="C177" s="4">
        <f>'Raw Data'!C177</f>
        <v>87</v>
      </c>
      <c r="D177" s="4">
        <f>'Raw Data'!D177</f>
        <v>0</v>
      </c>
      <c r="E177" s="4" t="str">
        <f>'Raw Data'!J177</f>
        <v>R128</v>
      </c>
      <c r="F177" s="4">
        <f>'Raw Data'!K177</f>
        <v>1</v>
      </c>
      <c r="G177" s="4" t="str">
        <f>'Raw Data'!E177</f>
        <v>R64</v>
      </c>
      <c r="H177" s="4">
        <f>'Raw Data'!F177</f>
        <v>2</v>
      </c>
      <c r="I177" s="18">
        <f>'Raw Data'!L177</f>
        <v>1</v>
      </c>
    </row>
    <row r="178" spans="1:9" x14ac:dyDescent="0.3">
      <c r="A178" s="17" t="str">
        <f>'Raw Data'!A178</f>
        <v>Roland Garros</v>
      </c>
      <c r="B178" s="4" t="str">
        <f>'Raw Data'!B178</f>
        <v>Corentin Moutet</v>
      </c>
      <c r="C178" s="4">
        <f>'Raw Data'!C178</f>
        <v>76</v>
      </c>
      <c r="D178" s="4">
        <f>'Raw Data'!D178</f>
        <v>0</v>
      </c>
      <c r="E178" s="4" t="str">
        <f>'Raw Data'!J178</f>
        <v>R128</v>
      </c>
      <c r="F178" s="4">
        <f>'Raw Data'!K178</f>
        <v>1</v>
      </c>
      <c r="G178" s="4" t="str">
        <f>'Raw Data'!E178</f>
        <v>R64</v>
      </c>
      <c r="H178" s="4">
        <f>'Raw Data'!F178</f>
        <v>2</v>
      </c>
      <c r="I178" s="18">
        <f>'Raw Data'!L178</f>
        <v>1</v>
      </c>
    </row>
    <row r="179" spans="1:9" x14ac:dyDescent="0.3">
      <c r="A179" s="17" t="str">
        <f>'Raw Data'!A179</f>
        <v>Roland Garros</v>
      </c>
      <c r="B179" s="4" t="str">
        <f>'Raw Data'!B179</f>
        <v>Grigor Dimitrov</v>
      </c>
      <c r="C179" s="4">
        <f>'Raw Data'!C179</f>
        <v>16</v>
      </c>
      <c r="D179" s="4">
        <f>'Raw Data'!D179</f>
        <v>16</v>
      </c>
      <c r="E179" s="4" t="str">
        <f>'Raw Data'!J179</f>
        <v>R16</v>
      </c>
      <c r="F179" s="4">
        <f>'Raw Data'!K179</f>
        <v>4</v>
      </c>
      <c r="G179" s="4" t="str">
        <f>'Raw Data'!E179</f>
        <v>R128</v>
      </c>
      <c r="H179" s="4">
        <f>'Raw Data'!F179</f>
        <v>1</v>
      </c>
      <c r="I179" s="18">
        <f>'Raw Data'!L179</f>
        <v>-3</v>
      </c>
    </row>
    <row r="180" spans="1:9" x14ac:dyDescent="0.3">
      <c r="A180" s="17" t="str">
        <f>'Raw Data'!A180</f>
        <v>Roland Garros</v>
      </c>
      <c r="B180" s="4" t="str">
        <f>'Raw Data'!B180</f>
        <v>Casper Ruud</v>
      </c>
      <c r="C180" s="4">
        <f>'Raw Data'!C180</f>
        <v>7</v>
      </c>
      <c r="D180" s="4">
        <f>'Raw Data'!D180</f>
        <v>7</v>
      </c>
      <c r="E180" s="4" t="str">
        <f>'Raw Data'!J180</f>
        <v>Quarter-final</v>
      </c>
      <c r="F180" s="4">
        <f>'Raw Data'!K180</f>
        <v>5</v>
      </c>
      <c r="G180" s="4" t="str">
        <f>'Raw Data'!E180</f>
        <v>R64</v>
      </c>
      <c r="H180" s="4">
        <f>'Raw Data'!F180</f>
        <v>2</v>
      </c>
      <c r="I180" s="18">
        <f>'Raw Data'!L180</f>
        <v>-3</v>
      </c>
    </row>
    <row r="181" spans="1:9" x14ac:dyDescent="0.3">
      <c r="A181" s="17" t="str">
        <f>'Raw Data'!A181</f>
        <v>Roland Garros</v>
      </c>
      <c r="B181" s="4" t="str">
        <f>'Raw Data'!B181</f>
        <v>Daniel Elahi Galan</v>
      </c>
      <c r="C181" s="4">
        <f>'Raw Data'!C181</f>
        <v>118</v>
      </c>
      <c r="D181" s="4">
        <f>'Raw Data'!D181</f>
        <v>0</v>
      </c>
      <c r="E181" s="4" t="str">
        <f>'Raw Data'!J181</f>
        <v>R128</v>
      </c>
      <c r="F181" s="4">
        <f>'Raw Data'!K181</f>
        <v>1</v>
      </c>
      <c r="G181" s="4" t="str">
        <f>'Raw Data'!E181</f>
        <v>R64</v>
      </c>
      <c r="H181" s="4">
        <f>'Raw Data'!F181</f>
        <v>2</v>
      </c>
      <c r="I181" s="18">
        <f>'Raw Data'!L181</f>
        <v>1</v>
      </c>
    </row>
    <row r="182" spans="1:9" x14ac:dyDescent="0.3">
      <c r="A182" s="17" t="str">
        <f>'Raw Data'!A182</f>
        <v>Roland Garros</v>
      </c>
      <c r="B182" s="4" t="str">
        <f>'Raw Data'!B182</f>
        <v>Alex De Minaur</v>
      </c>
      <c r="C182" s="4">
        <f>'Raw Data'!C182</f>
        <v>9</v>
      </c>
      <c r="D182" s="4">
        <f>'Raw Data'!D182</f>
        <v>9</v>
      </c>
      <c r="E182" s="4" t="str">
        <f>'Raw Data'!J182</f>
        <v>R16</v>
      </c>
      <c r="F182" s="4">
        <f>'Raw Data'!K182</f>
        <v>4</v>
      </c>
      <c r="G182" s="4" t="str">
        <f>'Raw Data'!E182</f>
        <v>R64</v>
      </c>
      <c r="H182" s="4">
        <f>'Raw Data'!F182</f>
        <v>2</v>
      </c>
      <c r="I182" s="18">
        <f>'Raw Data'!L182</f>
        <v>-2</v>
      </c>
    </row>
    <row r="183" spans="1:9" x14ac:dyDescent="0.3">
      <c r="A183" s="17" t="str">
        <f>'Raw Data'!A183</f>
        <v>Roland Garros</v>
      </c>
      <c r="B183" s="4" t="str">
        <f>'Raw Data'!B183</f>
        <v>Yannick Hanfmann</v>
      </c>
      <c r="C183" s="4">
        <f>'Raw Data'!C183</f>
        <v>137</v>
      </c>
      <c r="D183" s="4">
        <f>'Raw Data'!D183</f>
        <v>0</v>
      </c>
      <c r="E183" s="4" t="str">
        <f>'Raw Data'!J183</f>
        <v>R128</v>
      </c>
      <c r="F183" s="4">
        <f>'Raw Data'!K183</f>
        <v>1</v>
      </c>
      <c r="G183" s="4" t="str">
        <f>'Raw Data'!E183</f>
        <v>R128</v>
      </c>
      <c r="H183" s="4">
        <f>'Raw Data'!F183</f>
        <v>1</v>
      </c>
      <c r="I183" s="18">
        <f>'Raw Data'!L183</f>
        <v>0</v>
      </c>
    </row>
    <row r="184" spans="1:9" x14ac:dyDescent="0.3">
      <c r="A184" s="17" t="str">
        <f>'Raw Data'!A184</f>
        <v>Roland Garros</v>
      </c>
      <c r="B184" s="4" t="str">
        <f>'Raw Data'!B184</f>
        <v>Emilio Nava</v>
      </c>
      <c r="C184" s="4">
        <f>'Raw Data'!C184</f>
        <v>138</v>
      </c>
      <c r="D184" s="4">
        <f>'Raw Data'!D184</f>
        <v>0</v>
      </c>
      <c r="E184" s="4" t="str">
        <f>'Raw Data'!J184</f>
        <v>R128</v>
      </c>
      <c r="F184" s="4">
        <f>'Raw Data'!K184</f>
        <v>1</v>
      </c>
      <c r="G184" s="4" t="str">
        <f>'Raw Data'!E184</f>
        <v>R64</v>
      </c>
      <c r="H184" s="4">
        <f>'Raw Data'!F184</f>
        <v>2</v>
      </c>
      <c r="I184" s="18">
        <f>'Raw Data'!L184</f>
        <v>1</v>
      </c>
    </row>
    <row r="185" spans="1:9" x14ac:dyDescent="0.3">
      <c r="A185" s="17" t="str">
        <f>'Raw Data'!A185</f>
        <v>Roland Garros</v>
      </c>
      <c r="B185" s="4" t="str">
        <f>'Raw Data'!B185</f>
        <v>Hugo Gaston</v>
      </c>
      <c r="C185" s="4">
        <f>'Raw Data'!C185</f>
        <v>74</v>
      </c>
      <c r="D185" s="4">
        <f>'Raw Data'!D185</f>
        <v>0</v>
      </c>
      <c r="E185" s="4" t="str">
        <f>'Raw Data'!J185</f>
        <v>R128</v>
      </c>
      <c r="F185" s="4">
        <f>'Raw Data'!K185</f>
        <v>1</v>
      </c>
      <c r="G185" s="4" t="str">
        <f>'Raw Data'!E185</f>
        <v>R64</v>
      </c>
      <c r="H185" s="4">
        <f>'Raw Data'!F185</f>
        <v>2</v>
      </c>
      <c r="I185" s="18">
        <f>'Raw Data'!L185</f>
        <v>1</v>
      </c>
    </row>
    <row r="186" spans="1:9" x14ac:dyDescent="0.3">
      <c r="A186" s="17" t="str">
        <f>'Raw Data'!A186</f>
        <v>Roland Garros</v>
      </c>
      <c r="B186" s="4" t="str">
        <f>'Raw Data'!B186</f>
        <v>James Duckworth</v>
      </c>
      <c r="C186" s="4">
        <f>'Raw Data'!C186</f>
        <v>92</v>
      </c>
      <c r="D186" s="4">
        <f>'Raw Data'!D186</f>
        <v>0</v>
      </c>
      <c r="E186" s="4" t="str">
        <f>'Raw Data'!J186</f>
        <v>R128</v>
      </c>
      <c r="F186" s="4">
        <f>'Raw Data'!K186</f>
        <v>1</v>
      </c>
      <c r="G186" s="4" t="str">
        <f>'Raw Data'!E186</f>
        <v>R128</v>
      </c>
      <c r="H186" s="4">
        <f>'Raw Data'!F186</f>
        <v>1</v>
      </c>
      <c r="I186" s="18">
        <f>'Raw Data'!L186</f>
        <v>0</v>
      </c>
    </row>
    <row r="187" spans="1:9" x14ac:dyDescent="0.3">
      <c r="A187" s="17" t="str">
        <f>'Raw Data'!A187</f>
        <v>Roland Garros</v>
      </c>
      <c r="B187" s="4" t="str">
        <f>'Raw Data'!B187</f>
        <v>Jaume Munar</v>
      </c>
      <c r="C187" s="4">
        <f>'Raw Data'!C187</f>
        <v>58</v>
      </c>
      <c r="D187" s="4">
        <f>'Raw Data'!D187</f>
        <v>0</v>
      </c>
      <c r="E187" s="4" t="str">
        <f>'Raw Data'!J187</f>
        <v>R64</v>
      </c>
      <c r="F187" s="4">
        <f>'Raw Data'!K187</f>
        <v>2</v>
      </c>
      <c r="G187" s="4" t="str">
        <f>'Raw Data'!E187</f>
        <v>R64</v>
      </c>
      <c r="H187" s="4">
        <f>'Raw Data'!F187</f>
        <v>2</v>
      </c>
      <c r="I187" s="18">
        <f>'Raw Data'!L187</f>
        <v>0</v>
      </c>
    </row>
    <row r="188" spans="1:9" x14ac:dyDescent="0.3">
      <c r="A188" s="17" t="str">
        <f>'Raw Data'!A188</f>
        <v>Roland Garros</v>
      </c>
      <c r="B188" s="4" t="str">
        <f>'Raw Data'!B188</f>
        <v>Adam Walton</v>
      </c>
      <c r="C188" s="4">
        <f>'Raw Data'!C188</f>
        <v>91</v>
      </c>
      <c r="D188" s="4">
        <f>'Raw Data'!D188</f>
        <v>0</v>
      </c>
      <c r="E188" s="4" t="str">
        <f>'Raw Data'!J188</f>
        <v>R128</v>
      </c>
      <c r="F188" s="4">
        <f>'Raw Data'!K188</f>
        <v>1</v>
      </c>
      <c r="G188" s="4" t="str">
        <f>'Raw Data'!E188</f>
        <v>R64</v>
      </c>
      <c r="H188" s="4">
        <f>'Raw Data'!F188</f>
        <v>2</v>
      </c>
      <c r="I188" s="18">
        <f>'Raw Data'!L188</f>
        <v>1</v>
      </c>
    </row>
    <row r="189" spans="1:9" x14ac:dyDescent="0.3">
      <c r="A189" s="17" t="str">
        <f>'Raw Data'!A189</f>
        <v>Roland Garros</v>
      </c>
      <c r="B189" s="4" t="str">
        <f>'Raw Data'!B189</f>
        <v>Nikoloz Basilashvili</v>
      </c>
      <c r="C189" s="4">
        <f>'Raw Data'!C189</f>
        <v>132</v>
      </c>
      <c r="D189" s="4">
        <f>'Raw Data'!D189</f>
        <v>0</v>
      </c>
      <c r="E189" s="4" t="str">
        <f>'Raw Data'!J189</f>
        <v>R128</v>
      </c>
      <c r="F189" s="4">
        <f>'Raw Data'!K189</f>
        <v>1</v>
      </c>
      <c r="G189" s="4" t="str">
        <f>'Raw Data'!E189</f>
        <v>R128</v>
      </c>
      <c r="H189" s="4">
        <f>'Raw Data'!F189</f>
        <v>1</v>
      </c>
      <c r="I189" s="18">
        <f>'Raw Data'!L189</f>
        <v>0</v>
      </c>
    </row>
    <row r="190" spans="1:9" x14ac:dyDescent="0.3">
      <c r="A190" s="17" t="str">
        <f>'Raw Data'!A190</f>
        <v>Roland Garros</v>
      </c>
      <c r="B190" s="4" t="str">
        <f>'Raw Data'!B190</f>
        <v>Jakub Mensik</v>
      </c>
      <c r="C190" s="4">
        <f>'Raw Data'!C190</f>
        <v>19</v>
      </c>
      <c r="D190" s="4">
        <f>'Raw Data'!D190</f>
        <v>19</v>
      </c>
      <c r="E190" s="4" t="str">
        <f>'Raw Data'!J190</f>
        <v>R32</v>
      </c>
      <c r="F190" s="4">
        <f>'Raw Data'!K190</f>
        <v>3</v>
      </c>
      <c r="G190" s="4" t="str">
        <f>'Raw Data'!E190</f>
        <v>R64</v>
      </c>
      <c r="H190" s="4">
        <f>'Raw Data'!F190</f>
        <v>2</v>
      </c>
      <c r="I190" s="18">
        <f>'Raw Data'!L190</f>
        <v>-1</v>
      </c>
    </row>
    <row r="191" spans="1:9" x14ac:dyDescent="0.3">
      <c r="A191" s="17" t="str">
        <f>'Raw Data'!A191</f>
        <v>Roland Garros</v>
      </c>
      <c r="B191" s="4" t="str">
        <f>'Raw Data'!B191</f>
        <v>Marcos Giron</v>
      </c>
      <c r="C191" s="4">
        <f>'Raw Data'!C191</f>
        <v>43</v>
      </c>
      <c r="D191" s="4">
        <f>'Raw Data'!D191</f>
        <v>0</v>
      </c>
      <c r="E191" s="4" t="str">
        <f>'Raw Data'!J191</f>
        <v>R64</v>
      </c>
      <c r="F191" s="4">
        <f>'Raw Data'!K191</f>
        <v>2</v>
      </c>
      <c r="G191" s="4" t="str">
        <f>'Raw Data'!E191</f>
        <v>R128</v>
      </c>
      <c r="H191" s="4">
        <f>'Raw Data'!F191</f>
        <v>1</v>
      </c>
      <c r="I191" s="18">
        <f>'Raw Data'!L191</f>
        <v>-1</v>
      </c>
    </row>
    <row r="192" spans="1:9" x14ac:dyDescent="0.3">
      <c r="A192" s="17" t="str">
        <f>'Raw Data'!A192</f>
        <v>Roland Garros</v>
      </c>
      <c r="B192" s="4" t="str">
        <f>'Raw Data'!B192</f>
        <v>Stefanos Tsitsipas</v>
      </c>
      <c r="C192" s="4">
        <f>'Raw Data'!C192</f>
        <v>20</v>
      </c>
      <c r="D192" s="4">
        <f>'Raw Data'!D192</f>
        <v>20</v>
      </c>
      <c r="E192" s="4" t="str">
        <f>'Raw Data'!J192</f>
        <v>R32</v>
      </c>
      <c r="F192" s="4">
        <f>'Raw Data'!K192</f>
        <v>3</v>
      </c>
      <c r="G192" s="4" t="str">
        <f>'Raw Data'!E192</f>
        <v>R64</v>
      </c>
      <c r="H192" s="4">
        <f>'Raw Data'!F192</f>
        <v>2</v>
      </c>
      <c r="I192" s="18">
        <f>'Raw Data'!L192</f>
        <v>-1</v>
      </c>
    </row>
    <row r="193" spans="1:9" x14ac:dyDescent="0.3">
      <c r="A193" s="17" t="str">
        <f>'Raw Data'!A193</f>
        <v>Roland Garros</v>
      </c>
      <c r="B193" s="4" t="str">
        <f>'Raw Data'!B193</f>
        <v>Ugo Humbert</v>
      </c>
      <c r="C193" s="4">
        <f>'Raw Data'!C193</f>
        <v>22</v>
      </c>
      <c r="D193" s="4">
        <f>'Raw Data'!D193</f>
        <v>22</v>
      </c>
      <c r="E193" s="4" t="str">
        <f>'Raw Data'!J193</f>
        <v>R32</v>
      </c>
      <c r="F193" s="4">
        <f>'Raw Data'!K193</f>
        <v>3</v>
      </c>
      <c r="G193" s="4" t="str">
        <f>'Raw Data'!E193</f>
        <v>R64</v>
      </c>
      <c r="H193" s="4">
        <f>'Raw Data'!F193</f>
        <v>2</v>
      </c>
      <c r="I193" s="18">
        <f>'Raw Data'!L193</f>
        <v>-1</v>
      </c>
    </row>
    <row r="194" spans="1:9" x14ac:dyDescent="0.3">
      <c r="A194" s="17" t="str">
        <f>'Raw Data'!A194</f>
        <v>Roland Garros</v>
      </c>
      <c r="B194" s="4" t="str">
        <f>'Raw Data'!B194</f>
        <v>Jenson Brooksby</v>
      </c>
      <c r="C194" s="4">
        <f>'Raw Data'!C194</f>
        <v>165</v>
      </c>
      <c r="D194" s="4">
        <f>'Raw Data'!D194</f>
        <v>0</v>
      </c>
      <c r="E194" s="4" t="str">
        <f>'Raw Data'!J194</f>
        <v>R128</v>
      </c>
      <c r="F194" s="4">
        <f>'Raw Data'!K194</f>
        <v>1</v>
      </c>
      <c r="G194" s="4" t="str">
        <f>'Raw Data'!E194</f>
        <v>R64</v>
      </c>
      <c r="H194" s="4">
        <f>'Raw Data'!F194</f>
        <v>2</v>
      </c>
      <c r="I194" s="18">
        <f>'Raw Data'!L194</f>
        <v>1</v>
      </c>
    </row>
    <row r="195" spans="1:9" x14ac:dyDescent="0.3">
      <c r="A195" s="17" t="str">
        <f>'Raw Data'!A195</f>
        <v>Roland Garros</v>
      </c>
      <c r="B195" s="4" t="str">
        <f>'Raw Data'!B195</f>
        <v>Hugo Dellien</v>
      </c>
      <c r="C195" s="4">
        <f>'Raw Data'!C195</f>
        <v>96</v>
      </c>
      <c r="D195" s="4">
        <f>'Raw Data'!D195</f>
        <v>0</v>
      </c>
      <c r="E195" s="4" t="str">
        <f>'Raw Data'!J195</f>
        <v>R128</v>
      </c>
      <c r="F195" s="4">
        <f>'Raw Data'!K195</f>
        <v>1</v>
      </c>
      <c r="G195" s="4" t="str">
        <f>'Raw Data'!E195</f>
        <v>R128</v>
      </c>
      <c r="H195" s="4">
        <f>'Raw Data'!F195</f>
        <v>1</v>
      </c>
      <c r="I195" s="18">
        <f>'Raw Data'!L195</f>
        <v>0</v>
      </c>
    </row>
    <row r="196" spans="1:9" x14ac:dyDescent="0.3">
      <c r="A196" s="17" t="str">
        <f>'Raw Data'!A196</f>
        <v>Roland Garros</v>
      </c>
      <c r="B196" s="4" t="str">
        <f>'Raw Data'!B196</f>
        <v>Sebastian Ofner</v>
      </c>
      <c r="C196" s="4">
        <f>'Raw Data'!C196</f>
        <v>128</v>
      </c>
      <c r="D196" s="4">
        <f>'Raw Data'!D196</f>
        <v>0</v>
      </c>
      <c r="E196" s="4" t="str">
        <f>'Raw Data'!J196</f>
        <v>R128</v>
      </c>
      <c r="F196" s="4">
        <f>'Raw Data'!K196</f>
        <v>1</v>
      </c>
      <c r="G196" s="4" t="str">
        <f>'Raw Data'!E196</f>
        <v>R64</v>
      </c>
      <c r="H196" s="4">
        <f>'Raw Data'!F196</f>
        <v>2</v>
      </c>
      <c r="I196" s="18">
        <f>'Raw Data'!L196</f>
        <v>1</v>
      </c>
    </row>
    <row r="197" spans="1:9" x14ac:dyDescent="0.3">
      <c r="A197" s="17" t="str">
        <f>'Raw Data'!A197</f>
        <v>Roland Garros</v>
      </c>
      <c r="B197" s="4" t="str">
        <f>'Raw Data'!B197</f>
        <v>Alejandro Tabilo</v>
      </c>
      <c r="C197" s="4">
        <f>'Raw Data'!C197</f>
        <v>61</v>
      </c>
      <c r="D197" s="4">
        <f>'Raw Data'!D197</f>
        <v>0</v>
      </c>
      <c r="E197" s="4" t="str">
        <f>'Raw Data'!J197</f>
        <v>R64</v>
      </c>
      <c r="F197" s="4">
        <f>'Raw Data'!K197</f>
        <v>2</v>
      </c>
      <c r="G197" s="4" t="str">
        <f>'Raw Data'!E197</f>
        <v>R64</v>
      </c>
      <c r="H197" s="4">
        <f>'Raw Data'!F197</f>
        <v>2</v>
      </c>
      <c r="I197" s="18">
        <f>'Raw Data'!L197</f>
        <v>0</v>
      </c>
    </row>
    <row r="198" spans="1:9" x14ac:dyDescent="0.3">
      <c r="A198" s="17" t="str">
        <f>'Raw Data'!A198</f>
        <v>Roland Garros</v>
      </c>
      <c r="B198" s="4" t="str">
        <f>'Raw Data'!B198</f>
        <v>Thiago Monteiro</v>
      </c>
      <c r="C198" s="4">
        <f>'Raw Data'!C198</f>
        <v>130</v>
      </c>
      <c r="D198" s="4">
        <f>'Raw Data'!D198</f>
        <v>0</v>
      </c>
      <c r="E198" s="4" t="str">
        <f>'Raw Data'!J198</f>
        <v>R128</v>
      </c>
      <c r="F198" s="4">
        <f>'Raw Data'!K198</f>
        <v>1</v>
      </c>
      <c r="G198" s="4" t="str">
        <f>'Raw Data'!E198</f>
        <v>R128</v>
      </c>
      <c r="H198" s="4">
        <f>'Raw Data'!F198</f>
        <v>1</v>
      </c>
      <c r="I198" s="18">
        <f>'Raw Data'!L198</f>
        <v>0</v>
      </c>
    </row>
    <row r="199" spans="1:9" x14ac:dyDescent="0.3">
      <c r="A199" s="17" t="str">
        <f>'Raw Data'!A199</f>
        <v>Roland Garros</v>
      </c>
      <c r="B199" s="4" t="str">
        <f>'Raw Data'!B199</f>
        <v>Alejandro Davidovich Fokina</v>
      </c>
      <c r="C199" s="4">
        <f>'Raw Data'!C199</f>
        <v>26</v>
      </c>
      <c r="D199" s="4">
        <f>'Raw Data'!D199</f>
        <v>26</v>
      </c>
      <c r="E199" s="4" t="str">
        <f>'Raw Data'!J199</f>
        <v>R32</v>
      </c>
      <c r="F199" s="4">
        <f>'Raw Data'!K199</f>
        <v>3</v>
      </c>
      <c r="G199" s="4" t="str">
        <f>'Raw Data'!E199</f>
        <v>R64</v>
      </c>
      <c r="H199" s="4">
        <f>'Raw Data'!F199</f>
        <v>2</v>
      </c>
      <c r="I199" s="18">
        <f>'Raw Data'!L199</f>
        <v>-1</v>
      </c>
    </row>
    <row r="200" spans="1:9" x14ac:dyDescent="0.3">
      <c r="A200" s="17" t="str">
        <f>'Raw Data'!A200</f>
        <v>Roland Garros</v>
      </c>
      <c r="B200" s="4" t="str">
        <f>'Raw Data'!B200</f>
        <v>Denis Shapovalov</v>
      </c>
      <c r="C200" s="4">
        <f>'Raw Data'!C200</f>
        <v>27</v>
      </c>
      <c r="D200" s="4">
        <f>'Raw Data'!D200</f>
        <v>27</v>
      </c>
      <c r="E200" s="4" t="str">
        <f>'Raw Data'!J200</f>
        <v>R32</v>
      </c>
      <c r="F200" s="4">
        <f>'Raw Data'!K200</f>
        <v>3</v>
      </c>
      <c r="G200" s="4" t="str">
        <f>'Raw Data'!E200</f>
        <v>R64</v>
      </c>
      <c r="H200" s="4">
        <f>'Raw Data'!F200</f>
        <v>2</v>
      </c>
      <c r="I200" s="18">
        <f>'Raw Data'!L200</f>
        <v>-1</v>
      </c>
    </row>
    <row r="201" spans="1:9" x14ac:dyDescent="0.3">
      <c r="A201" s="17" t="str">
        <f>'Raw Data'!A201</f>
        <v>Roland Garros</v>
      </c>
      <c r="B201" s="4" t="str">
        <f>'Raw Data'!B201</f>
        <v>Giovanni Mpetshi Perricard</v>
      </c>
      <c r="C201" s="4">
        <f>'Raw Data'!C201</f>
        <v>32</v>
      </c>
      <c r="D201" s="4">
        <f>'Raw Data'!D201</f>
        <v>31</v>
      </c>
      <c r="E201" s="4" t="str">
        <f>'Raw Data'!J201</f>
        <v>R32</v>
      </c>
      <c r="F201" s="4">
        <f>'Raw Data'!K201</f>
        <v>3</v>
      </c>
      <c r="G201" s="4" t="str">
        <f>'Raw Data'!E201</f>
        <v>R64</v>
      </c>
      <c r="H201" s="4">
        <f>'Raw Data'!F201</f>
        <v>2</v>
      </c>
      <c r="I201" s="18">
        <f>'Raw Data'!L201</f>
        <v>-1</v>
      </c>
    </row>
    <row r="202" spans="1:9" x14ac:dyDescent="0.3">
      <c r="A202" s="17" t="str">
        <f>'Raw Data'!A202</f>
        <v>Roland Garros</v>
      </c>
      <c r="B202" s="4" t="str">
        <f>'Raw Data'!B202</f>
        <v>Christopher Oconnell</v>
      </c>
      <c r="C202" s="4">
        <f>'Raw Data'!C202</f>
        <v>82</v>
      </c>
      <c r="D202" s="4">
        <f>'Raw Data'!D202</f>
        <v>0</v>
      </c>
      <c r="E202" s="4" t="str">
        <f>'Raw Data'!J202</f>
        <v>R128</v>
      </c>
      <c r="F202" s="4">
        <f>'Raw Data'!K202</f>
        <v>1</v>
      </c>
      <c r="G202" s="4" t="str">
        <f>'Raw Data'!E202</f>
        <v>R128</v>
      </c>
      <c r="H202" s="4">
        <f>'Raw Data'!F202</f>
        <v>1</v>
      </c>
      <c r="I202" s="18">
        <f>'Raw Data'!L202</f>
        <v>0</v>
      </c>
    </row>
    <row r="203" spans="1:9" x14ac:dyDescent="0.3">
      <c r="A203" s="17" t="str">
        <f>'Raw Data'!A203</f>
        <v>Roland Garros</v>
      </c>
      <c r="B203" s="4" t="str">
        <f>'Raw Data'!B203</f>
        <v>Vit Kopriva</v>
      </c>
      <c r="C203" s="4">
        <f>'Raw Data'!C203</f>
        <v>85</v>
      </c>
      <c r="D203" s="4">
        <f>'Raw Data'!D203</f>
        <v>0</v>
      </c>
      <c r="E203" s="4" t="str">
        <f>'Raw Data'!J203</f>
        <v>R128</v>
      </c>
      <c r="F203" s="4">
        <f>'Raw Data'!K203</f>
        <v>1</v>
      </c>
      <c r="G203" s="4" t="str">
        <f>'Raw Data'!E203</f>
        <v>R64</v>
      </c>
      <c r="H203" s="4">
        <f>'Raw Data'!F203</f>
        <v>2</v>
      </c>
      <c r="I203" s="18">
        <f>'Raw Data'!L203</f>
        <v>1</v>
      </c>
    </row>
    <row r="204" spans="1:9" x14ac:dyDescent="0.3">
      <c r="A204" s="17" t="str">
        <f>'Raw Data'!A204</f>
        <v>Roland Garros</v>
      </c>
      <c r="B204" s="4" t="str">
        <f>'Raw Data'!B204</f>
        <v>Matteo Arnaldi</v>
      </c>
      <c r="C204" s="4">
        <f>'Raw Data'!C204</f>
        <v>39</v>
      </c>
      <c r="D204" s="4">
        <f>'Raw Data'!D204</f>
        <v>0</v>
      </c>
      <c r="E204" s="4" t="str">
        <f>'Raw Data'!J204</f>
        <v>R64</v>
      </c>
      <c r="F204" s="4">
        <f>'Raw Data'!K204</f>
        <v>2</v>
      </c>
      <c r="G204" s="4" t="str">
        <f>'Raw Data'!E204</f>
        <v>R64</v>
      </c>
      <c r="H204" s="4">
        <f>'Raw Data'!F204</f>
        <v>2</v>
      </c>
      <c r="I204" s="18">
        <f>'Raw Data'!L204</f>
        <v>0</v>
      </c>
    </row>
    <row r="205" spans="1:9" x14ac:dyDescent="0.3">
      <c r="A205" s="17" t="str">
        <f>'Raw Data'!A205</f>
        <v>Roland Garros</v>
      </c>
      <c r="B205" s="4" t="str">
        <f>'Raw Data'!B205</f>
        <v>Yoshihito Nishioka</v>
      </c>
      <c r="C205" s="4">
        <f>'Raw Data'!C205</f>
        <v>75</v>
      </c>
      <c r="D205" s="4">
        <f>'Raw Data'!D205</f>
        <v>0</v>
      </c>
      <c r="E205" s="4" t="str">
        <f>'Raw Data'!J205</f>
        <v>R128</v>
      </c>
      <c r="F205" s="4">
        <f>'Raw Data'!K205</f>
        <v>1</v>
      </c>
      <c r="G205" s="4" t="str">
        <f>'Raw Data'!E205</f>
        <v>R128</v>
      </c>
      <c r="H205" s="4">
        <f>'Raw Data'!F205</f>
        <v>1</v>
      </c>
      <c r="I205" s="18">
        <f>'Raw Data'!L205</f>
        <v>0</v>
      </c>
    </row>
    <row r="206" spans="1:9" x14ac:dyDescent="0.3">
      <c r="A206" s="17" t="str">
        <f>'Raw Data'!A206</f>
        <v>Roland Garros</v>
      </c>
      <c r="B206" s="4" t="str">
        <f>'Raw Data'!B206</f>
        <v>Gabriel Diallo</v>
      </c>
      <c r="C206" s="4">
        <f>'Raw Data'!C206</f>
        <v>53</v>
      </c>
      <c r="D206" s="4">
        <f>'Raw Data'!D206</f>
        <v>0</v>
      </c>
      <c r="E206" s="4" t="str">
        <f>'Raw Data'!J206</f>
        <v>R64</v>
      </c>
      <c r="F206" s="4">
        <f>'Raw Data'!K206</f>
        <v>2</v>
      </c>
      <c r="G206" s="4" t="str">
        <f>'Raw Data'!E206</f>
        <v>R64</v>
      </c>
      <c r="H206" s="4">
        <f>'Raw Data'!F206</f>
        <v>2</v>
      </c>
      <c r="I206" s="18">
        <f>'Raw Data'!L206</f>
        <v>0</v>
      </c>
    </row>
    <row r="207" spans="1:9" x14ac:dyDescent="0.3">
      <c r="A207" s="17" t="str">
        <f>'Raw Data'!A207</f>
        <v>Roland Garros</v>
      </c>
      <c r="B207" s="4" t="str">
        <f>'Raw Data'!B207</f>
        <v>Miomir Kecmanovic</v>
      </c>
      <c r="C207" s="4">
        <f>'Raw Data'!C207</f>
        <v>46</v>
      </c>
      <c r="D207" s="4">
        <f>'Raw Data'!D207</f>
        <v>0</v>
      </c>
      <c r="E207" s="4" t="str">
        <f>'Raw Data'!J207</f>
        <v>R64</v>
      </c>
      <c r="F207" s="4">
        <f>'Raw Data'!K207</f>
        <v>2</v>
      </c>
      <c r="G207" s="4" t="str">
        <f>'Raw Data'!E207</f>
        <v>R64</v>
      </c>
      <c r="H207" s="4">
        <f>'Raw Data'!F207</f>
        <v>2</v>
      </c>
      <c r="I207" s="18">
        <f>'Raw Data'!L207</f>
        <v>0</v>
      </c>
    </row>
    <row r="208" spans="1:9" x14ac:dyDescent="0.3">
      <c r="A208" s="17" t="str">
        <f>'Raw Data'!A208</f>
        <v>Roland Garros</v>
      </c>
      <c r="B208" s="4" t="str">
        <f>'Raw Data'!B208</f>
        <v>Daniil Medvedev</v>
      </c>
      <c r="C208" s="4">
        <f>'Raw Data'!C208</f>
        <v>11</v>
      </c>
      <c r="D208" s="4">
        <f>'Raw Data'!D208</f>
        <v>11</v>
      </c>
      <c r="E208" s="4" t="str">
        <f>'Raw Data'!J208</f>
        <v>R16</v>
      </c>
      <c r="F208" s="4">
        <f>'Raw Data'!K208</f>
        <v>4</v>
      </c>
      <c r="G208" s="4" t="str">
        <f>'Raw Data'!E208</f>
        <v>R128</v>
      </c>
      <c r="H208" s="4">
        <f>'Raw Data'!F208</f>
        <v>1</v>
      </c>
      <c r="I208" s="18">
        <f>'Raw Data'!L208</f>
        <v>-3</v>
      </c>
    </row>
    <row r="209" spans="1:9" x14ac:dyDescent="0.3">
      <c r="A209" s="17" t="str">
        <f>'Raw Data'!A209</f>
        <v>Roland Garros</v>
      </c>
      <c r="B209" s="4" t="str">
        <f>'Raw Data'!B209</f>
        <v>Juan Manuel Cerundolo</v>
      </c>
      <c r="C209" s="4">
        <f>'Raw Data'!C209</f>
        <v>109</v>
      </c>
      <c r="D209" s="4">
        <f>'Raw Data'!D209</f>
        <v>0</v>
      </c>
      <c r="E209" s="4" t="str">
        <f>'Raw Data'!J209</f>
        <v>R128</v>
      </c>
      <c r="F209" s="4">
        <f>'Raw Data'!K209</f>
        <v>1</v>
      </c>
      <c r="G209" s="4" t="str">
        <f>'Raw Data'!E209</f>
        <v>R64</v>
      </c>
      <c r="H209" s="4">
        <f>'Raw Data'!F209</f>
        <v>2</v>
      </c>
      <c r="I209" s="18">
        <f>'Raw Data'!L209</f>
        <v>1</v>
      </c>
    </row>
    <row r="210" spans="1:9" x14ac:dyDescent="0.3">
      <c r="A210" s="17" t="str">
        <f>'Raw Data'!A210</f>
        <v>Roland Garros</v>
      </c>
      <c r="B210" s="4" t="str">
        <f>'Raw Data'!B210</f>
        <v>Reilly Opelka</v>
      </c>
      <c r="C210" s="4">
        <f>'Raw Data'!C210</f>
        <v>95</v>
      </c>
      <c r="D210" s="4">
        <f>'Raw Data'!D210</f>
        <v>0</v>
      </c>
      <c r="E210" s="4" t="str">
        <f>'Raw Data'!J210</f>
        <v>R128</v>
      </c>
      <c r="F210" s="4">
        <f>'Raw Data'!K210</f>
        <v>1</v>
      </c>
      <c r="G210" s="4" t="str">
        <f>'Raw Data'!E210</f>
        <v>R64</v>
      </c>
      <c r="H210" s="4">
        <f>'Raw Data'!F210</f>
        <v>2</v>
      </c>
      <c r="I210" s="18">
        <f>'Raw Data'!L210</f>
        <v>1</v>
      </c>
    </row>
    <row r="211" spans="1:9" x14ac:dyDescent="0.3">
      <c r="A211" s="17" t="str">
        <f>'Raw Data'!A211</f>
        <v>Roland Garros</v>
      </c>
      <c r="B211" s="4" t="str">
        <f>'Raw Data'!B211</f>
        <v>Maximilian Marterer</v>
      </c>
      <c r="C211" s="4">
        <f>'Raw Data'!C211</f>
        <v>237</v>
      </c>
      <c r="D211" s="4">
        <f>'Raw Data'!D211</f>
        <v>0</v>
      </c>
      <c r="E211" s="4" t="str">
        <f>'Raw Data'!J211</f>
        <v>R128</v>
      </c>
      <c r="F211" s="4">
        <f>'Raw Data'!K211</f>
        <v>1</v>
      </c>
      <c r="G211" s="4" t="str">
        <f>'Raw Data'!E211</f>
        <v>R128</v>
      </c>
      <c r="H211" s="4">
        <f>'Raw Data'!F211</f>
        <v>1</v>
      </c>
      <c r="I211" s="18">
        <f>'Raw Data'!L211</f>
        <v>0</v>
      </c>
    </row>
    <row r="212" spans="1:9" x14ac:dyDescent="0.3">
      <c r="A212" s="17" t="str">
        <f>'Raw Data'!A212</f>
        <v>Roland Garros</v>
      </c>
      <c r="B212" s="4" t="str">
        <f>'Raw Data'!B212</f>
        <v>Federico Agustin Gomez</v>
      </c>
      <c r="C212" s="4">
        <f>'Raw Data'!C212</f>
        <v>142</v>
      </c>
      <c r="D212" s="4">
        <f>'Raw Data'!D212</f>
        <v>0</v>
      </c>
      <c r="E212" s="4" t="str">
        <f>'Raw Data'!J212</f>
        <v>R128</v>
      </c>
      <c r="F212" s="4">
        <f>'Raw Data'!K212</f>
        <v>1</v>
      </c>
      <c r="G212" s="4" t="str">
        <f>'Raw Data'!E212</f>
        <v>R64</v>
      </c>
      <c r="H212" s="4">
        <f>'Raw Data'!F212</f>
        <v>2</v>
      </c>
      <c r="I212" s="18">
        <f>'Raw Data'!L212</f>
        <v>1</v>
      </c>
    </row>
    <row r="213" spans="1:9" x14ac:dyDescent="0.3">
      <c r="A213" s="17" t="str">
        <f>'Raw Data'!A213</f>
        <v>Roland Garros</v>
      </c>
      <c r="B213" s="4" t="str">
        <f>'Raw Data'!B213</f>
        <v>Alexander Shevchenko</v>
      </c>
      <c r="C213" s="4">
        <f>'Raw Data'!C213</f>
        <v>97</v>
      </c>
      <c r="D213" s="4">
        <f>'Raw Data'!D213</f>
        <v>0</v>
      </c>
      <c r="E213" s="4" t="str">
        <f>'Raw Data'!J213</f>
        <v>R128</v>
      </c>
      <c r="F213" s="4">
        <f>'Raw Data'!K213</f>
        <v>1</v>
      </c>
      <c r="G213" s="4" t="str">
        <f>'Raw Data'!E213</f>
        <v>R64</v>
      </c>
      <c r="H213" s="4">
        <f>'Raw Data'!F213</f>
        <v>2</v>
      </c>
      <c r="I213" s="18">
        <f>'Raw Data'!L213</f>
        <v>1</v>
      </c>
    </row>
    <row r="214" spans="1:9" x14ac:dyDescent="0.3">
      <c r="A214" s="17" t="str">
        <f>'Raw Data'!A214</f>
        <v>Roland Garros</v>
      </c>
      <c r="B214" s="4" t="str">
        <f>'Raw Data'!B214</f>
        <v>Arthur Rinderknech</v>
      </c>
      <c r="C214" s="4">
        <f>'Raw Data'!C214</f>
        <v>72</v>
      </c>
      <c r="D214" s="4">
        <f>'Raw Data'!D214</f>
        <v>0</v>
      </c>
      <c r="E214" s="4" t="str">
        <f>'Raw Data'!J214</f>
        <v>R128</v>
      </c>
      <c r="F214" s="4">
        <f>'Raw Data'!K214</f>
        <v>1</v>
      </c>
      <c r="G214" s="4" t="str">
        <f>'Raw Data'!E214</f>
        <v>R128</v>
      </c>
      <c r="H214" s="4">
        <f>'Raw Data'!F214</f>
        <v>1</v>
      </c>
      <c r="I214" s="18">
        <f>'Raw Data'!L214</f>
        <v>0</v>
      </c>
    </row>
    <row r="215" spans="1:9" x14ac:dyDescent="0.3">
      <c r="A215" s="17" t="str">
        <f>'Raw Data'!A215</f>
        <v>Roland Garros</v>
      </c>
      <c r="B215" s="4" t="str">
        <f>'Raw Data'!B215</f>
        <v>Jordan Thompson</v>
      </c>
      <c r="C215" s="4">
        <f>'Raw Data'!C215</f>
        <v>38</v>
      </c>
      <c r="D215" s="4">
        <f>'Raw Data'!D215</f>
        <v>0</v>
      </c>
      <c r="E215" s="4" t="str">
        <f>'Raw Data'!J215</f>
        <v>R64</v>
      </c>
      <c r="F215" s="4">
        <f>'Raw Data'!K215</f>
        <v>2</v>
      </c>
      <c r="G215" s="4" t="str">
        <f>'Raw Data'!E215</f>
        <v>R128</v>
      </c>
      <c r="H215" s="4">
        <f>'Raw Data'!F215</f>
        <v>1</v>
      </c>
      <c r="I215" s="18">
        <f>'Raw Data'!L215</f>
        <v>-1</v>
      </c>
    </row>
    <row r="216" spans="1:9" x14ac:dyDescent="0.3">
      <c r="A216" s="17" t="str">
        <f>'Raw Data'!A216</f>
        <v>Roland Garros</v>
      </c>
      <c r="B216" s="4" t="str">
        <f>'Raw Data'!B216</f>
        <v>Giulio Zeppieri</v>
      </c>
      <c r="C216" s="4">
        <f>'Raw Data'!C216</f>
        <v>306</v>
      </c>
      <c r="D216" s="4">
        <f>'Raw Data'!D216</f>
        <v>0</v>
      </c>
      <c r="E216" s="4" t="str">
        <f>'Raw Data'!J216</f>
        <v>R128</v>
      </c>
      <c r="F216" s="4">
        <f>'Raw Data'!K216</f>
        <v>1</v>
      </c>
      <c r="G216" s="4" t="str">
        <f>'Raw Data'!E216</f>
        <v>R128</v>
      </c>
      <c r="H216" s="4">
        <f>'Raw Data'!F216</f>
        <v>1</v>
      </c>
      <c r="I216" s="18">
        <f>'Raw Data'!L216</f>
        <v>0</v>
      </c>
    </row>
    <row r="217" spans="1:9" x14ac:dyDescent="0.3">
      <c r="A217" s="17" t="str">
        <f>'Raw Data'!A217</f>
        <v>Roland Garros</v>
      </c>
      <c r="B217" s="4" t="str">
        <f>'Raw Data'!B217</f>
        <v>Learner Tien</v>
      </c>
      <c r="C217" s="4">
        <f>'Raw Data'!C217</f>
        <v>67</v>
      </c>
      <c r="D217" s="4">
        <f>'Raw Data'!D217</f>
        <v>0</v>
      </c>
      <c r="E217" s="4" t="str">
        <f>'Raw Data'!J217</f>
        <v>R128</v>
      </c>
      <c r="F217" s="4">
        <f>'Raw Data'!K217</f>
        <v>1</v>
      </c>
      <c r="G217" s="4" t="str">
        <f>'Raw Data'!E217</f>
        <v>R128</v>
      </c>
      <c r="H217" s="4">
        <f>'Raw Data'!F217</f>
        <v>1</v>
      </c>
      <c r="I217" s="18">
        <f>'Raw Data'!L217</f>
        <v>0</v>
      </c>
    </row>
    <row r="218" spans="1:9" x14ac:dyDescent="0.3">
      <c r="A218" s="17" t="str">
        <f>'Raw Data'!A218</f>
        <v>Roland Garros</v>
      </c>
      <c r="B218" s="4" t="str">
        <f>'Raw Data'!B218</f>
        <v>Taylor Fritz</v>
      </c>
      <c r="C218" s="4">
        <f>'Raw Data'!C218</f>
        <v>4</v>
      </c>
      <c r="D218" s="4">
        <f>'Raw Data'!D218</f>
        <v>4</v>
      </c>
      <c r="E218" s="4" t="str">
        <f>'Raw Data'!J218</f>
        <v>Semi-final</v>
      </c>
      <c r="F218" s="4">
        <f>'Raw Data'!K218</f>
        <v>6</v>
      </c>
      <c r="G218" s="4" t="str">
        <f>'Raw Data'!E218</f>
        <v>R128</v>
      </c>
      <c r="H218" s="4">
        <f>'Raw Data'!F218</f>
        <v>1</v>
      </c>
      <c r="I218" s="18">
        <f>'Raw Data'!L218</f>
        <v>-5</v>
      </c>
    </row>
    <row r="219" spans="1:9" x14ac:dyDescent="0.3">
      <c r="A219" s="17" t="str">
        <f>'Raw Data'!A219</f>
        <v>Roland Garros</v>
      </c>
      <c r="B219" s="4" t="str">
        <f>'Raw Data'!B219</f>
        <v>Mackenzie Mcdonald</v>
      </c>
      <c r="C219" s="4">
        <f>'Raw Data'!C219</f>
        <v>99</v>
      </c>
      <c r="D219" s="4">
        <f>'Raw Data'!D219</f>
        <v>0</v>
      </c>
      <c r="E219" s="4" t="str">
        <f>'Raw Data'!J219</f>
        <v>R128</v>
      </c>
      <c r="F219" s="4">
        <f>'Raw Data'!K219</f>
        <v>1</v>
      </c>
      <c r="G219" s="4" t="str">
        <f>'Raw Data'!E219</f>
        <v>R128</v>
      </c>
      <c r="H219" s="4">
        <f>'Raw Data'!F219</f>
        <v>1</v>
      </c>
      <c r="I219" s="18">
        <f>'Raw Data'!L219</f>
        <v>0</v>
      </c>
    </row>
    <row r="220" spans="1:9" x14ac:dyDescent="0.3">
      <c r="A220" s="17" t="str">
        <f>'Raw Data'!A220</f>
        <v>Roland Garros</v>
      </c>
      <c r="B220" s="4" t="str">
        <f>'Raw Data'!B220</f>
        <v>Mattia Bellucci</v>
      </c>
      <c r="C220" s="4">
        <f>'Raw Data'!C220</f>
        <v>68</v>
      </c>
      <c r="D220" s="4">
        <f>'Raw Data'!D220</f>
        <v>0</v>
      </c>
      <c r="E220" s="4" t="str">
        <f>'Raw Data'!J220</f>
        <v>R128</v>
      </c>
      <c r="F220" s="4">
        <f>'Raw Data'!K220</f>
        <v>1</v>
      </c>
      <c r="G220" s="4" t="str">
        <f>'Raw Data'!E220</f>
        <v>R128</v>
      </c>
      <c r="H220" s="4">
        <f>'Raw Data'!F220</f>
        <v>1</v>
      </c>
      <c r="I220" s="18">
        <f>'Raw Data'!L220</f>
        <v>0</v>
      </c>
    </row>
    <row r="221" spans="1:9" x14ac:dyDescent="0.3">
      <c r="A221" s="17" t="str">
        <f>'Raw Data'!A221</f>
        <v>Roland Garros</v>
      </c>
      <c r="B221" s="4" t="str">
        <f>'Raw Data'!B221</f>
        <v>Laslo Djere</v>
      </c>
      <c r="C221" s="4">
        <f>'Raw Data'!C221</f>
        <v>59</v>
      </c>
      <c r="D221" s="4">
        <f>'Raw Data'!D221</f>
        <v>0</v>
      </c>
      <c r="E221" s="4" t="str">
        <f>'Raw Data'!J221</f>
        <v>R64</v>
      </c>
      <c r="F221" s="4">
        <f>'Raw Data'!K221</f>
        <v>2</v>
      </c>
      <c r="G221" s="4" t="str">
        <f>'Raw Data'!E221</f>
        <v>R128</v>
      </c>
      <c r="H221" s="4">
        <f>'Raw Data'!F221</f>
        <v>1</v>
      </c>
      <c r="I221" s="18">
        <f>'Raw Data'!L221</f>
        <v>-1</v>
      </c>
    </row>
    <row r="222" spans="1:9" x14ac:dyDescent="0.3">
      <c r="A222" s="17" t="str">
        <f>'Raw Data'!A222</f>
        <v>Roland Garros</v>
      </c>
      <c r="B222" s="4" t="str">
        <f>'Raw Data'!B222</f>
        <v>Elmer Moller</v>
      </c>
      <c r="C222" s="4">
        <f>'Raw Data'!C222</f>
        <v>108</v>
      </c>
      <c r="D222" s="4">
        <f>'Raw Data'!D222</f>
        <v>0</v>
      </c>
      <c r="E222" s="4" t="str">
        <f>'Raw Data'!J222</f>
        <v>R128</v>
      </c>
      <c r="F222" s="4">
        <f>'Raw Data'!K222</f>
        <v>1</v>
      </c>
      <c r="G222" s="4" t="str">
        <f>'Raw Data'!E222</f>
        <v>R128</v>
      </c>
      <c r="H222" s="4">
        <f>'Raw Data'!F222</f>
        <v>1</v>
      </c>
      <c r="I222" s="18">
        <f>'Raw Data'!L222</f>
        <v>0</v>
      </c>
    </row>
    <row r="223" spans="1:9" x14ac:dyDescent="0.3">
      <c r="A223" s="17" t="str">
        <f>'Raw Data'!A223</f>
        <v>Roland Garros</v>
      </c>
      <c r="B223" s="4" t="str">
        <f>'Raw Data'!B223</f>
        <v>Kamil Majchrzak</v>
      </c>
      <c r="C223" s="4">
        <f>'Raw Data'!C223</f>
        <v>88</v>
      </c>
      <c r="D223" s="4">
        <f>'Raw Data'!D223</f>
        <v>0</v>
      </c>
      <c r="E223" s="4" t="str">
        <f>'Raw Data'!J223</f>
        <v>R128</v>
      </c>
      <c r="F223" s="4">
        <f>'Raw Data'!K223</f>
        <v>1</v>
      </c>
      <c r="G223" s="4" t="str">
        <f>'Raw Data'!E223</f>
        <v>R128</v>
      </c>
      <c r="H223" s="4">
        <f>'Raw Data'!F223</f>
        <v>1</v>
      </c>
      <c r="I223" s="18">
        <f>'Raw Data'!L223</f>
        <v>0</v>
      </c>
    </row>
    <row r="224" spans="1:9" x14ac:dyDescent="0.3">
      <c r="A224" s="17" t="str">
        <f>'Raw Data'!A224</f>
        <v>Roland Garros</v>
      </c>
      <c r="B224" s="4" t="str">
        <f>'Raw Data'!B224</f>
        <v>Lorenzo Sonego</v>
      </c>
      <c r="C224" s="4">
        <f>'Raw Data'!C224</f>
        <v>44</v>
      </c>
      <c r="D224" s="4">
        <f>'Raw Data'!D224</f>
        <v>0</v>
      </c>
      <c r="E224" s="4" t="str">
        <f>'Raw Data'!J224</f>
        <v>R64</v>
      </c>
      <c r="F224" s="4">
        <f>'Raw Data'!K224</f>
        <v>2</v>
      </c>
      <c r="G224" s="4" t="str">
        <f>'Raw Data'!E224</f>
        <v>R128</v>
      </c>
      <c r="H224" s="4">
        <f>'Raw Data'!F224</f>
        <v>1</v>
      </c>
      <c r="I224" s="18">
        <f>'Raw Data'!L224</f>
        <v>-1</v>
      </c>
    </row>
    <row r="225" spans="1:9" x14ac:dyDescent="0.3">
      <c r="A225" s="17" t="str">
        <f>'Raw Data'!A225</f>
        <v>Roland Garros</v>
      </c>
      <c r="B225" s="4" t="str">
        <f>'Raw Data'!B225</f>
        <v>Nicolas Jarry</v>
      </c>
      <c r="C225" s="4">
        <f>'Raw Data'!C225</f>
        <v>150</v>
      </c>
      <c r="D225" s="4">
        <f>'Raw Data'!D225</f>
        <v>0</v>
      </c>
      <c r="E225" s="4" t="str">
        <f>'Raw Data'!J225</f>
        <v>R128</v>
      </c>
      <c r="F225" s="4">
        <f>'Raw Data'!K225</f>
        <v>1</v>
      </c>
      <c r="G225" s="4" t="str">
        <f>'Raw Data'!E225</f>
        <v>R128</v>
      </c>
      <c r="H225" s="4">
        <f>'Raw Data'!F225</f>
        <v>1</v>
      </c>
      <c r="I225" s="18">
        <f>'Raw Data'!L225</f>
        <v>0</v>
      </c>
    </row>
    <row r="226" spans="1:9" x14ac:dyDescent="0.3">
      <c r="A226" s="17" t="str">
        <f>'Raw Data'!A226</f>
        <v>Roland Garros</v>
      </c>
      <c r="B226" s="4" t="str">
        <f>'Raw Data'!B226</f>
        <v>Roman Safiullin</v>
      </c>
      <c r="C226" s="4">
        <f>'Raw Data'!C226</f>
        <v>73</v>
      </c>
      <c r="D226" s="4">
        <f>'Raw Data'!D226</f>
        <v>0</v>
      </c>
      <c r="E226" s="4" t="str">
        <f>'Raw Data'!J226</f>
        <v>R128</v>
      </c>
      <c r="F226" s="4">
        <f>'Raw Data'!K226</f>
        <v>1</v>
      </c>
      <c r="G226" s="4" t="str">
        <f>'Raw Data'!E226</f>
        <v>R128</v>
      </c>
      <c r="H226" s="4">
        <f>'Raw Data'!F226</f>
        <v>1</v>
      </c>
      <c r="I226" s="18">
        <f>'Raw Data'!L226</f>
        <v>0</v>
      </c>
    </row>
    <row r="227" spans="1:9" x14ac:dyDescent="0.3">
      <c r="A227" s="17" t="str">
        <f>'Raw Data'!A227</f>
        <v>Roland Garros</v>
      </c>
      <c r="B227" s="4" t="str">
        <f>'Raw Data'!B227</f>
        <v>Lloyd Harris</v>
      </c>
      <c r="C227" s="4">
        <f>'Raw Data'!C227</f>
        <v>226</v>
      </c>
      <c r="D227" s="4">
        <f>'Raw Data'!D227</f>
        <v>0</v>
      </c>
      <c r="E227" s="4" t="str">
        <f>'Raw Data'!J227</f>
        <v>R128</v>
      </c>
      <c r="F227" s="4">
        <f>'Raw Data'!K227</f>
        <v>1</v>
      </c>
      <c r="G227" s="4" t="str">
        <f>'Raw Data'!E227</f>
        <v>R128</v>
      </c>
      <c r="H227" s="4">
        <f>'Raw Data'!F227</f>
        <v>1</v>
      </c>
      <c r="I227" s="18">
        <f>'Raw Data'!L227</f>
        <v>0</v>
      </c>
    </row>
    <row r="228" spans="1:9" x14ac:dyDescent="0.3">
      <c r="A228" s="17" t="str">
        <f>'Raw Data'!A228</f>
        <v>Roland Garros</v>
      </c>
      <c r="B228" s="4" t="str">
        <f>'Raw Data'!B228</f>
        <v>Botic Van De Zandschulp</v>
      </c>
      <c r="C228" s="4">
        <f>'Raw Data'!C228</f>
        <v>89</v>
      </c>
      <c r="D228" s="4">
        <f>'Raw Data'!D228</f>
        <v>0</v>
      </c>
      <c r="E228" s="4" t="str">
        <f>'Raw Data'!J228</f>
        <v>R128</v>
      </c>
      <c r="F228" s="4">
        <f>'Raw Data'!K228</f>
        <v>1</v>
      </c>
      <c r="G228" s="4" t="str">
        <f>'Raw Data'!E228</f>
        <v>R128</v>
      </c>
      <c r="H228" s="4">
        <f>'Raw Data'!F228</f>
        <v>1</v>
      </c>
      <c r="I228" s="18">
        <f>'Raw Data'!L228</f>
        <v>0</v>
      </c>
    </row>
    <row r="229" spans="1:9" x14ac:dyDescent="0.3">
      <c r="A229" s="17" t="str">
        <f>'Raw Data'!A229</f>
        <v>Roland Garros</v>
      </c>
      <c r="B229" s="4" t="str">
        <f>'Raw Data'!B229</f>
        <v>Francisco Cerundolo</v>
      </c>
      <c r="C229" s="4">
        <f>'Raw Data'!C229</f>
        <v>18</v>
      </c>
      <c r="D229" s="4">
        <f>'Raw Data'!D229</f>
        <v>18</v>
      </c>
      <c r="E229" s="4" t="str">
        <f>'Raw Data'!J229</f>
        <v>R32</v>
      </c>
      <c r="F229" s="4">
        <f>'Raw Data'!K229</f>
        <v>3</v>
      </c>
      <c r="G229" s="4" t="str">
        <f>'Raw Data'!E229</f>
        <v>R128</v>
      </c>
      <c r="H229" s="4">
        <f>'Raw Data'!F229</f>
        <v>1</v>
      </c>
      <c r="I229" s="18">
        <f>'Raw Data'!L229</f>
        <v>-2</v>
      </c>
    </row>
    <row r="230" spans="1:9" x14ac:dyDescent="0.3">
      <c r="A230" s="17" t="str">
        <f>'Raw Data'!A230</f>
        <v>Roland Garros</v>
      </c>
      <c r="B230" s="4" t="str">
        <f>'Raw Data'!B230</f>
        <v>Alexandre Muller</v>
      </c>
      <c r="C230" s="4">
        <f>'Raw Data'!C230</f>
        <v>40</v>
      </c>
      <c r="D230" s="4">
        <f>'Raw Data'!D230</f>
        <v>0</v>
      </c>
      <c r="E230" s="4" t="str">
        <f>'Raw Data'!J230</f>
        <v>R64</v>
      </c>
      <c r="F230" s="4">
        <f>'Raw Data'!K230</f>
        <v>2</v>
      </c>
      <c r="G230" s="4" t="str">
        <f>'Raw Data'!E230</f>
        <v>R128</v>
      </c>
      <c r="H230" s="4">
        <f>'Raw Data'!F230</f>
        <v>1</v>
      </c>
      <c r="I230" s="18">
        <f>'Raw Data'!L230</f>
        <v>-1</v>
      </c>
    </row>
    <row r="231" spans="1:9" x14ac:dyDescent="0.3">
      <c r="A231" s="17" t="str">
        <f>'Raw Data'!A231</f>
        <v>Roland Garros</v>
      </c>
      <c r="B231" s="4" t="str">
        <f>'Raw Data'!B231</f>
        <v>Tomas Martin Etcheverry</v>
      </c>
      <c r="C231" s="4">
        <f>'Raw Data'!C231</f>
        <v>55</v>
      </c>
      <c r="D231" s="4">
        <f>'Raw Data'!D231</f>
        <v>0</v>
      </c>
      <c r="E231" s="4" t="str">
        <f>'Raw Data'!J231</f>
        <v>R64</v>
      </c>
      <c r="F231" s="4">
        <f>'Raw Data'!K231</f>
        <v>2</v>
      </c>
      <c r="G231" s="4" t="str">
        <f>'Raw Data'!E231</f>
        <v>R128</v>
      </c>
      <c r="H231" s="4">
        <f>'Raw Data'!F231</f>
        <v>1</v>
      </c>
      <c r="I231" s="18">
        <f>'Raw Data'!L231</f>
        <v>-1</v>
      </c>
    </row>
    <row r="232" spans="1:9" x14ac:dyDescent="0.3">
      <c r="A232" s="17" t="str">
        <f>'Raw Data'!A232</f>
        <v>Roland Garros</v>
      </c>
      <c r="B232" s="4" t="str">
        <f>'Raw Data'!B232</f>
        <v>Tomas Machac</v>
      </c>
      <c r="C232" s="4">
        <f>'Raw Data'!C232</f>
        <v>21</v>
      </c>
      <c r="D232" s="4">
        <f>'Raw Data'!D232</f>
        <v>21</v>
      </c>
      <c r="E232" s="4" t="str">
        <f>'Raw Data'!J232</f>
        <v>R32</v>
      </c>
      <c r="F232" s="4">
        <f>'Raw Data'!K232</f>
        <v>3</v>
      </c>
      <c r="G232" s="4" t="str">
        <f>'Raw Data'!E232</f>
        <v>R128</v>
      </c>
      <c r="H232" s="4">
        <f>'Raw Data'!F232</f>
        <v>1</v>
      </c>
      <c r="I232" s="18">
        <f>'Raw Data'!L232</f>
        <v>-2</v>
      </c>
    </row>
    <row r="233" spans="1:9" x14ac:dyDescent="0.3">
      <c r="A233" s="17" t="str">
        <f>'Raw Data'!A233</f>
        <v>Roland Garros</v>
      </c>
      <c r="B233" s="4" t="str">
        <f>'Raw Data'!B233</f>
        <v>Pedro Martinez</v>
      </c>
      <c r="C233" s="4">
        <f>'Raw Data'!C233</f>
        <v>48</v>
      </c>
      <c r="D233" s="4">
        <f>'Raw Data'!D233</f>
        <v>0</v>
      </c>
      <c r="E233" s="4" t="str">
        <f>'Raw Data'!J233</f>
        <v>R64</v>
      </c>
      <c r="F233" s="4">
        <f>'Raw Data'!K233</f>
        <v>2</v>
      </c>
      <c r="G233" s="4" t="str">
        <f>'Raw Data'!E233</f>
        <v>R128</v>
      </c>
      <c r="H233" s="4">
        <f>'Raw Data'!F233</f>
        <v>1</v>
      </c>
      <c r="I233" s="18">
        <f>'Raw Data'!L233</f>
        <v>-1</v>
      </c>
    </row>
    <row r="234" spans="1:9" x14ac:dyDescent="0.3">
      <c r="A234" s="17" t="str">
        <f>'Raw Data'!A234</f>
        <v>Roland Garros</v>
      </c>
      <c r="B234" s="4" t="str">
        <f>'Raw Data'!B234</f>
        <v>Luciano Darderi</v>
      </c>
      <c r="C234" s="4">
        <f>'Raw Data'!C234</f>
        <v>45</v>
      </c>
      <c r="D234" s="4">
        <f>'Raw Data'!D234</f>
        <v>0</v>
      </c>
      <c r="E234" s="4" t="str">
        <f>'Raw Data'!J234</f>
        <v>R64</v>
      </c>
      <c r="F234" s="4">
        <f>'Raw Data'!K234</f>
        <v>2</v>
      </c>
      <c r="G234" s="4" t="str">
        <f>'Raw Data'!E234</f>
        <v>R128</v>
      </c>
      <c r="H234" s="4">
        <f>'Raw Data'!F234</f>
        <v>1</v>
      </c>
      <c r="I234" s="18">
        <f>'Raw Data'!L234</f>
        <v>-1</v>
      </c>
    </row>
    <row r="235" spans="1:9" x14ac:dyDescent="0.3">
      <c r="A235" s="17" t="str">
        <f>'Raw Data'!A235</f>
        <v>Roland Garros</v>
      </c>
      <c r="B235" s="4" t="str">
        <f>'Raw Data'!B235</f>
        <v>Aleksandar Vukic</v>
      </c>
      <c r="C235" s="4">
        <f>'Raw Data'!C235</f>
        <v>78</v>
      </c>
      <c r="D235" s="4">
        <f>'Raw Data'!D235</f>
        <v>0</v>
      </c>
      <c r="E235" s="4" t="str">
        <f>'Raw Data'!J235</f>
        <v>R128</v>
      </c>
      <c r="F235" s="4">
        <f>'Raw Data'!K235</f>
        <v>1</v>
      </c>
      <c r="G235" s="4" t="str">
        <f>'Raw Data'!E235</f>
        <v>R128</v>
      </c>
      <c r="H235" s="4">
        <f>'Raw Data'!F235</f>
        <v>1</v>
      </c>
      <c r="I235" s="18">
        <f>'Raw Data'!L235</f>
        <v>0</v>
      </c>
    </row>
    <row r="236" spans="1:9" x14ac:dyDescent="0.3">
      <c r="A236" s="17" t="str">
        <f>'Raw Data'!A236</f>
        <v>Roland Garros</v>
      </c>
      <c r="B236" s="4" t="str">
        <f>'Raw Data'!B236</f>
        <v>Pablo Llamas Ruiz</v>
      </c>
      <c r="C236" s="4">
        <f>'Raw Data'!C236</f>
        <v>874</v>
      </c>
      <c r="D236" s="4">
        <f>'Raw Data'!D236</f>
        <v>0</v>
      </c>
      <c r="E236" s="4" t="str">
        <f>'Raw Data'!J236</f>
        <v>R128</v>
      </c>
      <c r="F236" s="4">
        <f>'Raw Data'!K236</f>
        <v>1</v>
      </c>
      <c r="G236" s="4" t="str">
        <f>'Raw Data'!E236</f>
        <v>R128</v>
      </c>
      <c r="H236" s="4">
        <f>'Raw Data'!F236</f>
        <v>1</v>
      </c>
      <c r="I236" s="18">
        <f>'Raw Data'!L236</f>
        <v>0</v>
      </c>
    </row>
    <row r="237" spans="1:9" x14ac:dyDescent="0.3">
      <c r="A237" s="17" t="str">
        <f>'Raw Data'!A237</f>
        <v>Roland Garros</v>
      </c>
      <c r="B237" s="4" t="str">
        <f>'Raw Data'!B237</f>
        <v>Brandon Nakashima</v>
      </c>
      <c r="C237" s="4">
        <f>'Raw Data'!C237</f>
        <v>29</v>
      </c>
      <c r="D237" s="4">
        <f>'Raw Data'!D237</f>
        <v>28</v>
      </c>
      <c r="E237" s="4" t="str">
        <f>'Raw Data'!J237</f>
        <v>R32</v>
      </c>
      <c r="F237" s="4">
        <f>'Raw Data'!K237</f>
        <v>3</v>
      </c>
      <c r="G237" s="4" t="str">
        <f>'Raw Data'!E237</f>
        <v>R128</v>
      </c>
      <c r="H237" s="4">
        <f>'Raw Data'!F237</f>
        <v>1</v>
      </c>
      <c r="I237" s="18">
        <f>'Raw Data'!L237</f>
        <v>-2</v>
      </c>
    </row>
    <row r="238" spans="1:9" x14ac:dyDescent="0.3">
      <c r="A238" s="17" t="str">
        <f>'Raw Data'!A238</f>
        <v>Roland Garros</v>
      </c>
      <c r="B238" s="4" t="str">
        <f>'Raw Data'!B238</f>
        <v>Felix Auger Aliassime</v>
      </c>
      <c r="C238" s="4">
        <f>'Raw Data'!C238</f>
        <v>30</v>
      </c>
      <c r="D238" s="4">
        <f>'Raw Data'!D238</f>
        <v>29</v>
      </c>
      <c r="E238" s="4" t="str">
        <f>'Raw Data'!J238</f>
        <v>R32</v>
      </c>
      <c r="F238" s="4">
        <f>'Raw Data'!K238</f>
        <v>3</v>
      </c>
      <c r="G238" s="4" t="str">
        <f>'Raw Data'!E238</f>
        <v>R128</v>
      </c>
      <c r="H238" s="4">
        <f>'Raw Data'!F238</f>
        <v>1</v>
      </c>
      <c r="I238" s="18">
        <f>'Raw Data'!L238</f>
        <v>-2</v>
      </c>
    </row>
    <row r="239" spans="1:9" x14ac:dyDescent="0.3">
      <c r="A239" s="17" t="str">
        <f>'Raw Data'!A239</f>
        <v>Roland Garros</v>
      </c>
      <c r="B239" s="4" t="str">
        <f>'Raw Data'!B239</f>
        <v>Hubert Hurkacz</v>
      </c>
      <c r="C239" s="4">
        <f>'Raw Data'!C239</f>
        <v>31</v>
      </c>
      <c r="D239" s="4">
        <f>'Raw Data'!D239</f>
        <v>30</v>
      </c>
      <c r="E239" s="4" t="str">
        <f>'Raw Data'!J239</f>
        <v>R32</v>
      </c>
      <c r="F239" s="4">
        <f>'Raw Data'!K239</f>
        <v>3</v>
      </c>
      <c r="G239" s="4" t="str">
        <f>'Raw Data'!E239</f>
        <v>R128</v>
      </c>
      <c r="H239" s="4">
        <f>'Raw Data'!F239</f>
        <v>1</v>
      </c>
      <c r="I239" s="18">
        <f>'Raw Data'!L239</f>
        <v>-2</v>
      </c>
    </row>
    <row r="240" spans="1:9" x14ac:dyDescent="0.3">
      <c r="A240" s="17" t="str">
        <f>'Raw Data'!A240</f>
        <v>Roland Garros</v>
      </c>
      <c r="B240" s="4" t="str">
        <f>'Raw Data'!B240</f>
        <v>Benjamin Bonzi</v>
      </c>
      <c r="C240" s="4">
        <f>'Raw Data'!C240</f>
        <v>60</v>
      </c>
      <c r="D240" s="4">
        <f>'Raw Data'!D240</f>
        <v>0</v>
      </c>
      <c r="E240" s="4" t="str">
        <f>'Raw Data'!J240</f>
        <v>R64</v>
      </c>
      <c r="F240" s="4">
        <f>'Raw Data'!K240</f>
        <v>2</v>
      </c>
      <c r="G240" s="4" t="str">
        <f>'Raw Data'!E240</f>
        <v>R128</v>
      </c>
      <c r="H240" s="4">
        <f>'Raw Data'!F240</f>
        <v>1</v>
      </c>
      <c r="I240" s="18">
        <f>'Raw Data'!L240</f>
        <v>-1</v>
      </c>
    </row>
    <row r="241" spans="1:9" x14ac:dyDescent="0.3">
      <c r="A241" s="17" t="str">
        <f>'Raw Data'!A241</f>
        <v>Roland Garros</v>
      </c>
      <c r="B241" s="4" t="str">
        <f>'Raw Data'!B241</f>
        <v>Zizou Bergs</v>
      </c>
      <c r="C241" s="4">
        <f>'Raw Data'!C241</f>
        <v>49</v>
      </c>
      <c r="D241" s="4">
        <f>'Raw Data'!D241</f>
        <v>0</v>
      </c>
      <c r="E241" s="4" t="str">
        <f>'Raw Data'!J241</f>
        <v>R64</v>
      </c>
      <c r="F241" s="4">
        <f>'Raw Data'!K241</f>
        <v>2</v>
      </c>
      <c r="G241" s="4" t="str">
        <f>'Raw Data'!E241</f>
        <v>R128</v>
      </c>
      <c r="H241" s="4">
        <f>'Raw Data'!F241</f>
        <v>1</v>
      </c>
      <c r="I241" s="18">
        <f>'Raw Data'!L241</f>
        <v>-1</v>
      </c>
    </row>
    <row r="242" spans="1:9" x14ac:dyDescent="0.3">
      <c r="A242" s="17" t="str">
        <f>'Raw Data'!A242</f>
        <v>Roland Garros</v>
      </c>
      <c r="B242" s="4" t="str">
        <f>'Raw Data'!B242</f>
        <v>Alex Michelsen</v>
      </c>
      <c r="C242" s="4">
        <f>'Raw Data'!C242</f>
        <v>33</v>
      </c>
      <c r="D242" s="4">
        <f>'Raw Data'!D242</f>
        <v>32</v>
      </c>
      <c r="E242" s="4" t="str">
        <f>'Raw Data'!J242</f>
        <v>R64</v>
      </c>
      <c r="F242" s="4">
        <f>'Raw Data'!K242</f>
        <v>2</v>
      </c>
      <c r="G242" s="4" t="str">
        <f>'Raw Data'!E242</f>
        <v>R128</v>
      </c>
      <c r="H242" s="4">
        <f>'Raw Data'!F242</f>
        <v>1</v>
      </c>
      <c r="I242" s="18">
        <f>'Raw Data'!L242</f>
        <v>-1</v>
      </c>
    </row>
    <row r="243" spans="1:9" x14ac:dyDescent="0.3">
      <c r="A243" s="17" t="str">
        <f>'Raw Data'!A243</f>
        <v>Roland Garros</v>
      </c>
      <c r="B243" s="4" t="str">
        <f>'Raw Data'!B243</f>
        <v>Kyrian Jacquet</v>
      </c>
      <c r="C243" s="4">
        <f>'Raw Data'!C243</f>
        <v>151</v>
      </c>
      <c r="D243" s="4">
        <f>'Raw Data'!D243</f>
        <v>0</v>
      </c>
      <c r="E243" s="4" t="str">
        <f>'Raw Data'!J243</f>
        <v>R128</v>
      </c>
      <c r="F243" s="4">
        <f>'Raw Data'!K243</f>
        <v>1</v>
      </c>
      <c r="G243" s="4" t="str">
        <f>'Raw Data'!E243</f>
        <v>R128</v>
      </c>
      <c r="H243" s="4">
        <f>'Raw Data'!F243</f>
        <v>1</v>
      </c>
      <c r="I243" s="18">
        <f>'Raw Data'!L243</f>
        <v>0</v>
      </c>
    </row>
    <row r="244" spans="1:9" x14ac:dyDescent="0.3">
      <c r="A244" s="17" t="str">
        <f>'Raw Data'!A244</f>
        <v>Roland Garros</v>
      </c>
      <c r="B244" s="4" t="str">
        <f>'Raw Data'!B244</f>
        <v>Jaime Faria</v>
      </c>
      <c r="C244" s="4">
        <f>'Raw Data'!C244</f>
        <v>115</v>
      </c>
      <c r="D244" s="4">
        <f>'Raw Data'!D244</f>
        <v>0</v>
      </c>
      <c r="E244" s="4" t="str">
        <f>'Raw Data'!J244</f>
        <v>R128</v>
      </c>
      <c r="F244" s="4">
        <f>'Raw Data'!K244</f>
        <v>1</v>
      </c>
      <c r="G244" s="4" t="str">
        <f>'Raw Data'!E244</f>
        <v>R128</v>
      </c>
      <c r="H244" s="4">
        <f>'Raw Data'!F244</f>
        <v>1</v>
      </c>
      <c r="I244" s="18">
        <f>'Raw Data'!L244</f>
        <v>0</v>
      </c>
    </row>
    <row r="245" spans="1:9" x14ac:dyDescent="0.3">
      <c r="A245" s="17" t="str">
        <f>'Raw Data'!A245</f>
        <v>Roland Garros</v>
      </c>
      <c r="B245" s="4" t="str">
        <f>'Raw Data'!B245</f>
        <v>Francisco Comesana</v>
      </c>
      <c r="C245" s="4">
        <f>'Raw Data'!C245</f>
        <v>64</v>
      </c>
      <c r="D245" s="4">
        <f>'Raw Data'!D245</f>
        <v>0</v>
      </c>
      <c r="E245" s="4" t="str">
        <f>'Raw Data'!J245</f>
        <v>R64</v>
      </c>
      <c r="F245" s="4">
        <f>'Raw Data'!K245</f>
        <v>2</v>
      </c>
      <c r="G245" s="4" t="str">
        <f>'Raw Data'!E245</f>
        <v>R128</v>
      </c>
      <c r="H245" s="4">
        <f>'Raw Data'!F245</f>
        <v>1</v>
      </c>
      <c r="I245" s="18">
        <f>'Raw Data'!L245</f>
        <v>-1</v>
      </c>
    </row>
    <row r="246" spans="1:9" x14ac:dyDescent="0.3">
      <c r="A246" s="17" t="str">
        <f>'Raw Data'!A246</f>
        <v>Roland Garros</v>
      </c>
      <c r="B246" s="4" t="str">
        <f>'Raw Data'!B246</f>
        <v>Francesco Passaro</v>
      </c>
      <c r="C246" s="4">
        <f>'Raw Data'!C246</f>
        <v>140</v>
      </c>
      <c r="D246" s="4">
        <f>'Raw Data'!D246</f>
        <v>0</v>
      </c>
      <c r="E246" s="4" t="str">
        <f>'Raw Data'!J246</f>
        <v>R128</v>
      </c>
      <c r="F246" s="4">
        <f>'Raw Data'!K246</f>
        <v>1</v>
      </c>
      <c r="G246" s="4" t="str">
        <f>'Raw Data'!E246</f>
        <v>R128</v>
      </c>
      <c r="H246" s="4">
        <f>'Raw Data'!F246</f>
        <v>1</v>
      </c>
      <c r="I246" s="18">
        <f>'Raw Data'!L246</f>
        <v>0</v>
      </c>
    </row>
    <row r="247" spans="1:9" x14ac:dyDescent="0.3">
      <c r="A247" s="17" t="str">
        <f>'Raw Data'!A247</f>
        <v>Roland Garros</v>
      </c>
      <c r="B247" s="4" t="str">
        <f>'Raw Data'!B247</f>
        <v>Thiago Agustin Tirante</v>
      </c>
      <c r="C247" s="4">
        <f>'Raw Data'!C247</f>
        <v>131</v>
      </c>
      <c r="D247" s="4">
        <f>'Raw Data'!D247</f>
        <v>0</v>
      </c>
      <c r="E247" s="4" t="str">
        <f>'Raw Data'!J247</f>
        <v>R128</v>
      </c>
      <c r="F247" s="4">
        <f>'Raw Data'!K247</f>
        <v>1</v>
      </c>
      <c r="G247" s="4" t="str">
        <f>'Raw Data'!E247</f>
        <v>R128</v>
      </c>
      <c r="H247" s="4">
        <f>'Raw Data'!F247</f>
        <v>1</v>
      </c>
      <c r="I247" s="18">
        <f>'Raw Data'!L247</f>
        <v>0</v>
      </c>
    </row>
    <row r="248" spans="1:9" x14ac:dyDescent="0.3">
      <c r="A248" s="17" t="str">
        <f>'Raw Data'!A248</f>
        <v>Roland Garros</v>
      </c>
      <c r="B248" s="4" t="str">
        <f>'Raw Data'!B248</f>
        <v>Tristan Schoolkate</v>
      </c>
      <c r="C248" s="4">
        <f>'Raw Data'!C248</f>
        <v>127</v>
      </c>
      <c r="D248" s="4">
        <f>'Raw Data'!D248</f>
        <v>0</v>
      </c>
      <c r="E248" s="4" t="str">
        <f>'Raw Data'!J248</f>
        <v>R128</v>
      </c>
      <c r="F248" s="4">
        <f>'Raw Data'!K248</f>
        <v>1</v>
      </c>
      <c r="G248" s="4" t="str">
        <f>'Raw Data'!E248</f>
        <v>R128</v>
      </c>
      <c r="H248" s="4">
        <f>'Raw Data'!F248</f>
        <v>1</v>
      </c>
      <c r="I248" s="18">
        <f>'Raw Data'!L248</f>
        <v>0</v>
      </c>
    </row>
    <row r="249" spans="1:9" x14ac:dyDescent="0.3">
      <c r="A249" s="17" t="str">
        <f>'Raw Data'!A249</f>
        <v>Roland Garros</v>
      </c>
      <c r="B249" s="4" t="str">
        <f>'Raw Data'!B249</f>
        <v>Benjamin Hassan</v>
      </c>
      <c r="C249" s="4">
        <f>'Raw Data'!C249</f>
        <v>221</v>
      </c>
      <c r="D249" s="4">
        <f>'Raw Data'!D249</f>
        <v>0</v>
      </c>
      <c r="E249" s="4" t="str">
        <f>'Raw Data'!J249</f>
        <v>R128</v>
      </c>
      <c r="F249" s="4">
        <f>'Raw Data'!K249</f>
        <v>1</v>
      </c>
      <c r="G249" s="4" t="str">
        <f>'Raw Data'!E249</f>
        <v>R128</v>
      </c>
      <c r="H249" s="4">
        <f>'Raw Data'!F249</f>
        <v>1</v>
      </c>
      <c r="I249" s="18">
        <f>'Raw Data'!L249</f>
        <v>0</v>
      </c>
    </row>
    <row r="250" spans="1:9" x14ac:dyDescent="0.3">
      <c r="A250" s="17" t="str">
        <f>'Raw Data'!A250</f>
        <v>Roland Garros</v>
      </c>
      <c r="B250" s="4" t="str">
        <f>'Raw Data'!B250</f>
        <v>Valentin Royer</v>
      </c>
      <c r="C250" s="4">
        <f>'Raw Data'!C250</f>
        <v>120</v>
      </c>
      <c r="D250" s="4">
        <f>'Raw Data'!D250</f>
        <v>0</v>
      </c>
      <c r="E250" s="4" t="str">
        <f>'Raw Data'!J250</f>
        <v>R128</v>
      </c>
      <c r="F250" s="4">
        <f>'Raw Data'!K250</f>
        <v>1</v>
      </c>
      <c r="G250" s="4" t="str">
        <f>'Raw Data'!E250</f>
        <v>R128</v>
      </c>
      <c r="H250" s="4">
        <f>'Raw Data'!F250</f>
        <v>1</v>
      </c>
      <c r="I250" s="18">
        <f>'Raw Data'!L250</f>
        <v>0</v>
      </c>
    </row>
    <row r="251" spans="1:9" x14ac:dyDescent="0.3">
      <c r="A251" s="17" t="str">
        <f>'Raw Data'!A251</f>
        <v>Roland Garros</v>
      </c>
      <c r="B251" s="4" t="str">
        <f>'Raw Data'!B251</f>
        <v>Terence Atmane</v>
      </c>
      <c r="C251" s="4">
        <f>'Raw Data'!C251</f>
        <v>121</v>
      </c>
      <c r="D251" s="4">
        <f>'Raw Data'!D251</f>
        <v>0</v>
      </c>
      <c r="E251" s="4" t="str">
        <f>'Raw Data'!J251</f>
        <v>R128</v>
      </c>
      <c r="F251" s="4">
        <f>'Raw Data'!K251</f>
        <v>1</v>
      </c>
      <c r="G251" s="4" t="str">
        <f>'Raw Data'!E251</f>
        <v>R128</v>
      </c>
      <c r="H251" s="4">
        <f>'Raw Data'!F251</f>
        <v>1</v>
      </c>
      <c r="I251" s="18">
        <f>'Raw Data'!L251</f>
        <v>0</v>
      </c>
    </row>
    <row r="252" spans="1:9" x14ac:dyDescent="0.3">
      <c r="A252" s="17" t="str">
        <f>'Raw Data'!A252</f>
        <v>Roland Garros</v>
      </c>
      <c r="B252" s="4" t="str">
        <f>'Raw Data'!B252</f>
        <v>Ugo Blanchet</v>
      </c>
      <c r="C252" s="4">
        <f>'Raw Data'!C252</f>
        <v>193</v>
      </c>
      <c r="D252" s="4">
        <f>'Raw Data'!D252</f>
        <v>0</v>
      </c>
      <c r="E252" s="4" t="str">
        <f>'Raw Data'!J252</f>
        <v>R128</v>
      </c>
      <c r="F252" s="4">
        <f>'Raw Data'!K252</f>
        <v>1</v>
      </c>
      <c r="G252" s="4" t="str">
        <f>'Raw Data'!E252</f>
        <v>R128</v>
      </c>
      <c r="H252" s="4">
        <f>'Raw Data'!F252</f>
        <v>1</v>
      </c>
      <c r="I252" s="18">
        <f>'Raw Data'!L252</f>
        <v>0</v>
      </c>
    </row>
    <row r="253" spans="1:9" x14ac:dyDescent="0.3">
      <c r="A253" s="17" t="str">
        <f>'Raw Data'!A253</f>
        <v>Roland Garros</v>
      </c>
      <c r="B253" s="4" t="str">
        <f>'Raw Data'!B253</f>
        <v>Aleksandar Kovacevic</v>
      </c>
      <c r="C253" s="4">
        <f>'Raw Data'!C253</f>
        <v>80</v>
      </c>
      <c r="D253" s="4">
        <f>'Raw Data'!D253</f>
        <v>0</v>
      </c>
      <c r="E253" s="4" t="str">
        <f>'Raw Data'!J253</f>
        <v>R128</v>
      </c>
      <c r="F253" s="4">
        <f>'Raw Data'!K253</f>
        <v>1</v>
      </c>
      <c r="G253" s="4" t="str">
        <f>'Raw Data'!E253</f>
        <v>R128</v>
      </c>
      <c r="H253" s="4">
        <f>'Raw Data'!F253</f>
        <v>1</v>
      </c>
      <c r="I253" s="18">
        <f>'Raw Data'!L253</f>
        <v>0</v>
      </c>
    </row>
    <row r="254" spans="1:9" x14ac:dyDescent="0.3">
      <c r="A254" s="17" t="str">
        <f>'Raw Data'!A254</f>
        <v>Roland Garros</v>
      </c>
      <c r="B254" s="4" t="str">
        <f>'Raw Data'!B254</f>
        <v>Sebastian Baez</v>
      </c>
      <c r="C254" s="4">
        <f>'Raw Data'!C254</f>
        <v>36</v>
      </c>
      <c r="D254" s="4">
        <f>'Raw Data'!D254</f>
        <v>0</v>
      </c>
      <c r="E254" s="4" t="str">
        <f>'Raw Data'!J254</f>
        <v>R64</v>
      </c>
      <c r="F254" s="4">
        <f>'Raw Data'!K254</f>
        <v>2</v>
      </c>
      <c r="G254" s="4" t="str">
        <f>'Raw Data'!E254</f>
        <v>R128</v>
      </c>
      <c r="H254" s="4">
        <f>'Raw Data'!F254</f>
        <v>1</v>
      </c>
      <c r="I254" s="18">
        <f>'Raw Data'!L254</f>
        <v>-1</v>
      </c>
    </row>
    <row r="255" spans="1:9" x14ac:dyDescent="0.3">
      <c r="A255" s="17" t="str">
        <f>'Raw Data'!A255</f>
        <v>Roland Garros</v>
      </c>
      <c r="B255" s="4" t="str">
        <f>'Raw Data'!B255</f>
        <v>Camilo Ugo Carabelli</v>
      </c>
      <c r="C255" s="4">
        <f>'Raw Data'!C255</f>
        <v>52</v>
      </c>
      <c r="D255" s="4">
        <f>'Raw Data'!D255</f>
        <v>0</v>
      </c>
      <c r="E255" s="4" t="str">
        <f>'Raw Data'!J255</f>
        <v>R64</v>
      </c>
      <c r="F255" s="4">
        <f>'Raw Data'!K255</f>
        <v>2</v>
      </c>
      <c r="G255" s="4" t="str">
        <f>'Raw Data'!E255</f>
        <v>R128</v>
      </c>
      <c r="H255" s="4">
        <f>'Raw Data'!F255</f>
        <v>1</v>
      </c>
      <c r="I255" s="18">
        <f>'Raw Data'!L255</f>
        <v>-1</v>
      </c>
    </row>
    <row r="256" spans="1:9" x14ac:dyDescent="0.3">
      <c r="A256" s="17" t="str">
        <f>'Raw Data'!A256</f>
        <v>Roland Garros</v>
      </c>
      <c r="B256" s="4" t="str">
        <f>'Raw Data'!B256</f>
        <v>Luca Nardi</v>
      </c>
      <c r="C256" s="4">
        <f>'Raw Data'!C256</f>
        <v>94</v>
      </c>
      <c r="D256" s="4">
        <f>'Raw Data'!D256</f>
        <v>0</v>
      </c>
      <c r="E256" s="4" t="str">
        <f>'Raw Data'!J256</f>
        <v>R128</v>
      </c>
      <c r="F256" s="4">
        <f>'Raw Data'!K256</f>
        <v>1</v>
      </c>
      <c r="G256" s="4" t="str">
        <f>'Raw Data'!E256</f>
        <v>R128</v>
      </c>
      <c r="H256" s="4">
        <f>'Raw Data'!F256</f>
        <v>1</v>
      </c>
      <c r="I256" s="18">
        <f>'Raw Data'!L256</f>
        <v>0</v>
      </c>
    </row>
    <row r="257" spans="1:9" x14ac:dyDescent="0.3">
      <c r="A257" s="17" t="str">
        <f>'Raw Data'!A257</f>
        <v>Roland Garros</v>
      </c>
      <c r="B257" s="4" t="str">
        <f>'Raw Data'!B257</f>
        <v>Bu Yunchaokete</v>
      </c>
      <c r="C257" s="4">
        <f>'Raw Data'!C257</f>
        <v>70</v>
      </c>
      <c r="D257" s="4">
        <f>'Raw Data'!D257</f>
        <v>0</v>
      </c>
      <c r="E257" s="4" t="str">
        <f>'Raw Data'!J257</f>
        <v>R128</v>
      </c>
      <c r="F257" s="4">
        <f>'Raw Data'!K257</f>
        <v>1</v>
      </c>
      <c r="G257" s="4" t="str">
        <f>'Raw Data'!E257</f>
        <v>R128</v>
      </c>
      <c r="H257" s="4">
        <f>'Raw Data'!F257</f>
        <v>1</v>
      </c>
      <c r="I257" s="18">
        <f>'Raw Data'!L257</f>
        <v>0</v>
      </c>
    </row>
    <row r="258" spans="1:9" x14ac:dyDescent="0.3">
      <c r="A258" s="17" t="str">
        <f>'Raw Data'!A258</f>
        <v>Roland Garros</v>
      </c>
      <c r="B258" s="4" t="str">
        <f>'Raw Data'!B258</f>
        <v>Clement Tabur</v>
      </c>
      <c r="C258" s="4">
        <f>'Raw Data'!C258</f>
        <v>311</v>
      </c>
      <c r="D258" s="4">
        <f>'Raw Data'!D258</f>
        <v>0</v>
      </c>
      <c r="E258" s="4" t="str">
        <f>'Raw Data'!J258</f>
        <v>R128</v>
      </c>
      <c r="F258" s="4">
        <f>'Raw Data'!K258</f>
        <v>1</v>
      </c>
      <c r="G258" s="4" t="str">
        <f>'Raw Data'!E258</f>
        <v>R128</v>
      </c>
      <c r="H258" s="4">
        <f>'Raw Data'!F258</f>
        <v>1</v>
      </c>
      <c r="I258" s="18">
        <f>'Raw Data'!L258</f>
        <v>0</v>
      </c>
    </row>
    <row r="259" spans="1:9" x14ac:dyDescent="0.3">
      <c r="A259" s="17" t="str">
        <f>'Raw Data'!A259</f>
        <v>Roland Garros</v>
      </c>
      <c r="B259" s="4" t="str">
        <f>'Raw Data'!B259</f>
        <v>Rinky Hijikata</v>
      </c>
      <c r="C259" s="4">
        <f>'Raw Data'!C259</f>
        <v>79</v>
      </c>
      <c r="D259" s="4">
        <f>'Raw Data'!D259</f>
        <v>0</v>
      </c>
      <c r="E259" s="4" t="str">
        <f>'Raw Data'!J259</f>
        <v>R128</v>
      </c>
      <c r="F259" s="4">
        <f>'Raw Data'!K259</f>
        <v>1</v>
      </c>
      <c r="G259" s="4" t="str">
        <f>'Raw Data'!E259</f>
        <v>R128</v>
      </c>
      <c r="H259" s="4">
        <f>'Raw Data'!F259</f>
        <v>1</v>
      </c>
      <c r="I259" s="18">
        <f>'Raw Data'!L259</f>
        <v>0</v>
      </c>
    </row>
    <row r="260" spans="1:9" x14ac:dyDescent="0.3">
      <c r="A260" s="17" t="str">
        <f>'Raw Data'!A260</f>
        <v>Roland Garros</v>
      </c>
      <c r="B260" s="4" t="str">
        <f>'Raw Data'!B260</f>
        <v>Arthur Cazaux</v>
      </c>
      <c r="C260" s="4">
        <f>'Raw Data'!C260</f>
        <v>113</v>
      </c>
      <c r="D260" s="4">
        <f>'Raw Data'!D260</f>
        <v>0</v>
      </c>
      <c r="E260" s="4" t="str">
        <f>'Raw Data'!J260</f>
        <v>R128</v>
      </c>
      <c r="F260" s="4">
        <f>'Raw Data'!K260</f>
        <v>1</v>
      </c>
      <c r="G260" s="4" t="str">
        <f>'Raw Data'!E260</f>
        <v>R128</v>
      </c>
      <c r="H260" s="4">
        <f>'Raw Data'!F260</f>
        <v>1</v>
      </c>
      <c r="I260" s="18">
        <f>'Raw Data'!L260</f>
        <v>0</v>
      </c>
    </row>
    <row r="261" spans="1:9" x14ac:dyDescent="0.3">
      <c r="A261" s="17" t="str">
        <f>'Raw Data'!A261</f>
        <v>Wimbledon</v>
      </c>
      <c r="B261" s="4" t="str">
        <f>'Raw Data'!B261</f>
        <v>Alexander Zverev</v>
      </c>
      <c r="C261" s="4">
        <f>'Raw Data'!C261</f>
        <v>3</v>
      </c>
      <c r="D261" s="4">
        <f>'Raw Data'!D261</f>
        <v>3</v>
      </c>
      <c r="E261" s="4" t="str">
        <f>'Raw Data'!J261</f>
        <v>Semi-final</v>
      </c>
      <c r="F261" s="4">
        <f>'Raw Data'!K261</f>
        <v>6</v>
      </c>
      <c r="G261" s="4" t="str">
        <f>'Raw Data'!E261</f>
        <v>R128</v>
      </c>
      <c r="H261" s="4">
        <f>'Raw Data'!F261</f>
        <v>1</v>
      </c>
      <c r="I261" s="18">
        <f>'Raw Data'!L261</f>
        <v>-5</v>
      </c>
    </row>
    <row r="262" spans="1:9" x14ac:dyDescent="0.3">
      <c r="A262" s="17" t="str">
        <f>'Raw Data'!A262</f>
        <v>Wimbledon</v>
      </c>
      <c r="B262" s="4" t="str">
        <f>'Raw Data'!B262</f>
        <v>Jannik Sinner</v>
      </c>
      <c r="C262" s="4">
        <f>'Raw Data'!C262</f>
        <v>1</v>
      </c>
      <c r="D262" s="4">
        <f>'Raw Data'!D262</f>
        <v>1</v>
      </c>
      <c r="E262" s="4" t="str">
        <f>'Raw Data'!J262</f>
        <v>Final</v>
      </c>
      <c r="F262" s="4">
        <f>'Raw Data'!K262</f>
        <v>7</v>
      </c>
      <c r="G262" s="4" t="str">
        <f>'Raw Data'!E262</f>
        <v>Final</v>
      </c>
      <c r="H262" s="4">
        <f>'Raw Data'!F262</f>
        <v>8</v>
      </c>
      <c r="I262" s="18">
        <f>'Raw Data'!L262</f>
        <v>1</v>
      </c>
    </row>
    <row r="263" spans="1:9" x14ac:dyDescent="0.3">
      <c r="A263" s="17" t="str">
        <f>'Raw Data'!A263</f>
        <v>Wimbledon</v>
      </c>
      <c r="B263" s="4" t="str">
        <f>'Raw Data'!B263</f>
        <v>Luca Nardi</v>
      </c>
      <c r="C263" s="4">
        <f>'Raw Data'!C263</f>
        <v>94</v>
      </c>
      <c r="D263" s="4">
        <f>'Raw Data'!D263</f>
        <v>0</v>
      </c>
      <c r="E263" s="4" t="str">
        <f>'Raw Data'!J263</f>
        <v>R128</v>
      </c>
      <c r="F263" s="4">
        <f>'Raw Data'!K263</f>
        <v>1</v>
      </c>
      <c r="G263" s="4" t="str">
        <f>'Raw Data'!E263</f>
        <v>R128</v>
      </c>
      <c r="H263" s="4">
        <f>'Raw Data'!F263</f>
        <v>1</v>
      </c>
      <c r="I263" s="18">
        <f>'Raw Data'!L263</f>
        <v>0</v>
      </c>
    </row>
    <row r="264" spans="1:9" x14ac:dyDescent="0.3">
      <c r="A264" s="17" t="str">
        <f>'Raw Data'!A264</f>
        <v>Wimbledon</v>
      </c>
      <c r="B264" s="4" t="str">
        <f>'Raw Data'!B264</f>
        <v>Grigor Dimitrov</v>
      </c>
      <c r="C264" s="4">
        <f>'Raw Data'!C264</f>
        <v>21</v>
      </c>
      <c r="D264" s="4">
        <f>'Raw Data'!D264</f>
        <v>19</v>
      </c>
      <c r="E264" s="4" t="str">
        <f>'Raw Data'!J264</f>
        <v>R32</v>
      </c>
      <c r="F264" s="4">
        <f>'Raw Data'!K264</f>
        <v>3</v>
      </c>
      <c r="G264" s="4" t="str">
        <f>'Raw Data'!E264</f>
        <v>R16</v>
      </c>
      <c r="H264" s="4">
        <f>'Raw Data'!F264</f>
        <v>4</v>
      </c>
      <c r="I264" s="18">
        <f>'Raw Data'!L264</f>
        <v>1</v>
      </c>
    </row>
    <row r="265" spans="1:9" x14ac:dyDescent="0.3">
      <c r="A265" s="17" t="str">
        <f>'Raw Data'!A265</f>
        <v>Wimbledon</v>
      </c>
      <c r="B265" s="4" t="str">
        <f>'Raw Data'!B265</f>
        <v>Aleksandar Vukic</v>
      </c>
      <c r="C265" s="4">
        <f>'Raw Data'!C265</f>
        <v>80</v>
      </c>
      <c r="D265" s="4">
        <f>'Raw Data'!D265</f>
        <v>0</v>
      </c>
      <c r="E265" s="4" t="str">
        <f>'Raw Data'!J265</f>
        <v>R128</v>
      </c>
      <c r="F265" s="4">
        <f>'Raw Data'!K265</f>
        <v>1</v>
      </c>
      <c r="G265" s="4" t="str">
        <f>'Raw Data'!E265</f>
        <v>R64</v>
      </c>
      <c r="H265" s="4">
        <f>'Raw Data'!F265</f>
        <v>2</v>
      </c>
      <c r="I265" s="18">
        <f>'Raw Data'!L265</f>
        <v>1</v>
      </c>
    </row>
    <row r="266" spans="1:9" x14ac:dyDescent="0.3">
      <c r="A266" s="17" t="str">
        <f>'Raw Data'!A266</f>
        <v>Wimbledon</v>
      </c>
      <c r="B266" s="4" t="str">
        <f>'Raw Data'!B266</f>
        <v>Chun Hsin Tseng</v>
      </c>
      <c r="C266" s="4">
        <f>'Raw Data'!C266</f>
        <v>96</v>
      </c>
      <c r="D266" s="4">
        <f>'Raw Data'!D266</f>
        <v>0</v>
      </c>
      <c r="E266" s="4" t="str">
        <f>'Raw Data'!J266</f>
        <v>R128</v>
      </c>
      <c r="F266" s="4">
        <f>'Raw Data'!K266</f>
        <v>1</v>
      </c>
      <c r="G266" s="4" t="str">
        <f>'Raw Data'!E266</f>
        <v>R128</v>
      </c>
      <c r="H266" s="4">
        <f>'Raw Data'!F266</f>
        <v>1</v>
      </c>
      <c r="I266" s="18">
        <f>'Raw Data'!L266</f>
        <v>0</v>
      </c>
    </row>
    <row r="267" spans="1:9" x14ac:dyDescent="0.3">
      <c r="A267" s="17" t="str">
        <f>'Raw Data'!A267</f>
        <v>Wimbledon</v>
      </c>
      <c r="B267" s="4" t="str">
        <f>'Raw Data'!B267</f>
        <v>Gael Monfils</v>
      </c>
      <c r="C267" s="4">
        <f>'Raw Data'!C267</f>
        <v>42</v>
      </c>
      <c r="D267" s="4">
        <f>'Raw Data'!D267</f>
        <v>0</v>
      </c>
      <c r="E267" s="4" t="str">
        <f>'Raw Data'!J267</f>
        <v>R64</v>
      </c>
      <c r="F267" s="4">
        <f>'Raw Data'!K267</f>
        <v>2</v>
      </c>
      <c r="G267" s="4" t="str">
        <f>'Raw Data'!E267</f>
        <v>R64</v>
      </c>
      <c r="H267" s="4">
        <f>'Raw Data'!F267</f>
        <v>2</v>
      </c>
      <c r="I267" s="18">
        <f>'Raw Data'!L267</f>
        <v>0</v>
      </c>
    </row>
    <row r="268" spans="1:9" x14ac:dyDescent="0.3">
      <c r="A268" s="17" t="str">
        <f>'Raw Data'!A268</f>
        <v>Wimbledon</v>
      </c>
      <c r="B268" s="4" t="str">
        <f>'Raw Data'!B268</f>
        <v>Pedro Martinez</v>
      </c>
      <c r="C268" s="4">
        <f>'Raw Data'!C268</f>
        <v>52</v>
      </c>
      <c r="D268" s="4">
        <f>'Raw Data'!D268</f>
        <v>0</v>
      </c>
      <c r="E268" s="4" t="str">
        <f>'Raw Data'!J268</f>
        <v>R64</v>
      </c>
      <c r="F268" s="4">
        <f>'Raw Data'!K268</f>
        <v>2</v>
      </c>
      <c r="G268" s="4" t="str">
        <f>'Raw Data'!E268</f>
        <v>R32</v>
      </c>
      <c r="H268" s="4">
        <f>'Raw Data'!F268</f>
        <v>3</v>
      </c>
      <c r="I268" s="18">
        <f>'Raw Data'!L268</f>
        <v>1</v>
      </c>
    </row>
    <row r="269" spans="1:9" x14ac:dyDescent="0.3">
      <c r="A269" s="17" t="str">
        <f>'Raw Data'!A269</f>
        <v>Wimbledon</v>
      </c>
      <c r="B269" s="4" t="str">
        <f>'Raw Data'!B269</f>
        <v>George Loffhagen</v>
      </c>
      <c r="C269" s="4">
        <f>'Raw Data'!C269</f>
        <v>302</v>
      </c>
      <c r="D269" s="4">
        <f>'Raw Data'!D269</f>
        <v>0</v>
      </c>
      <c r="E269" s="4" t="str">
        <f>'Raw Data'!J269</f>
        <v>R128</v>
      </c>
      <c r="F269" s="4">
        <f>'Raw Data'!K269</f>
        <v>1</v>
      </c>
      <c r="G269" s="4" t="str">
        <f>'Raw Data'!E269</f>
        <v>R128</v>
      </c>
      <c r="H269" s="4">
        <f>'Raw Data'!F269</f>
        <v>1</v>
      </c>
      <c r="I269" s="18">
        <f>'Raw Data'!L269</f>
        <v>0</v>
      </c>
    </row>
    <row r="270" spans="1:9" x14ac:dyDescent="0.3">
      <c r="A270" s="17" t="str">
        <f>'Raw Data'!A270</f>
        <v>Wimbledon</v>
      </c>
      <c r="B270" s="4" t="str">
        <f>'Raw Data'!B270</f>
        <v>Novak Djokovic</v>
      </c>
      <c r="C270" s="4">
        <f>'Raw Data'!C270</f>
        <v>6</v>
      </c>
      <c r="D270" s="4">
        <f>'Raw Data'!D270</f>
        <v>6</v>
      </c>
      <c r="E270" s="4" t="str">
        <f>'Raw Data'!J270</f>
        <v>Quarter-final</v>
      </c>
      <c r="F270" s="4">
        <f>'Raw Data'!K270</f>
        <v>5</v>
      </c>
      <c r="G270" s="4" t="str">
        <f>'Raw Data'!E270</f>
        <v>Semi-final</v>
      </c>
      <c r="H270" s="4">
        <f>'Raw Data'!F270</f>
        <v>6</v>
      </c>
      <c r="I270" s="18">
        <f>'Raw Data'!L270</f>
        <v>1</v>
      </c>
    </row>
    <row r="271" spans="1:9" x14ac:dyDescent="0.3">
      <c r="A271" s="17" t="str">
        <f>'Raw Data'!A271</f>
        <v>Wimbledon</v>
      </c>
      <c r="B271" s="4" t="str">
        <f>'Raw Data'!B271</f>
        <v>Mariano Navone</v>
      </c>
      <c r="C271" s="4">
        <f>'Raw Data'!C271</f>
        <v>91</v>
      </c>
      <c r="D271" s="4">
        <f>'Raw Data'!D271</f>
        <v>0</v>
      </c>
      <c r="E271" s="4" t="str">
        <f>'Raw Data'!J271</f>
        <v>R128</v>
      </c>
      <c r="F271" s="4">
        <f>'Raw Data'!K271</f>
        <v>1</v>
      </c>
      <c r="G271" s="4" t="str">
        <f>'Raw Data'!E271</f>
        <v>R64</v>
      </c>
      <c r="H271" s="4">
        <f>'Raw Data'!F271</f>
        <v>2</v>
      </c>
      <c r="I271" s="18">
        <f>'Raw Data'!L271</f>
        <v>1</v>
      </c>
    </row>
    <row r="272" spans="1:9" x14ac:dyDescent="0.3">
      <c r="A272" s="17" t="str">
        <f>'Raw Data'!A272</f>
        <v>Wimbledon</v>
      </c>
      <c r="B272" s="4" t="str">
        <f>'Raw Data'!B272</f>
        <v>Denis Shapovalov</v>
      </c>
      <c r="C272" s="4">
        <f>'Raw Data'!C272</f>
        <v>29</v>
      </c>
      <c r="D272" s="4">
        <f>'Raw Data'!D272</f>
        <v>27</v>
      </c>
      <c r="E272" s="4" t="str">
        <f>'Raw Data'!J272</f>
        <v>R32</v>
      </c>
      <c r="F272" s="4">
        <f>'Raw Data'!K272</f>
        <v>3</v>
      </c>
      <c r="G272" s="4" t="str">
        <f>'Raw Data'!E272</f>
        <v>R128</v>
      </c>
      <c r="H272" s="4">
        <f>'Raw Data'!F272</f>
        <v>1</v>
      </c>
      <c r="I272" s="18">
        <f>'Raw Data'!L272</f>
        <v>-2</v>
      </c>
    </row>
    <row r="273" spans="1:9" x14ac:dyDescent="0.3">
      <c r="A273" s="17" t="str">
        <f>'Raw Data'!A273</f>
        <v>Wimbledon</v>
      </c>
      <c r="B273" s="4" t="str">
        <f>'Raw Data'!B273</f>
        <v>Fabio Fognini</v>
      </c>
      <c r="C273" s="4">
        <f>'Raw Data'!C273</f>
        <v>130</v>
      </c>
      <c r="D273" s="4">
        <f>'Raw Data'!D273</f>
        <v>0</v>
      </c>
      <c r="E273" s="4" t="str">
        <f>'Raw Data'!J273</f>
        <v>R128</v>
      </c>
      <c r="F273" s="4">
        <f>'Raw Data'!K273</f>
        <v>1</v>
      </c>
      <c r="G273" s="4" t="str">
        <f>'Raw Data'!E273</f>
        <v>R128</v>
      </c>
      <c r="H273" s="4">
        <f>'Raw Data'!F273</f>
        <v>1</v>
      </c>
      <c r="I273" s="18">
        <f>'Raw Data'!L273</f>
        <v>0</v>
      </c>
    </row>
    <row r="274" spans="1:9" x14ac:dyDescent="0.3">
      <c r="A274" s="17" t="str">
        <f>'Raw Data'!A274</f>
        <v>Wimbledon</v>
      </c>
      <c r="B274" s="4" t="str">
        <f>'Raw Data'!B274</f>
        <v>Yoshihito Nishioka</v>
      </c>
      <c r="C274" s="4">
        <f>'Raw Data'!C274</f>
        <v>78</v>
      </c>
      <c r="D274" s="4">
        <f>'Raw Data'!D274</f>
        <v>0</v>
      </c>
      <c r="E274" s="4" t="str">
        <f>'Raw Data'!J274</f>
        <v>R128</v>
      </c>
      <c r="F274" s="4">
        <f>'Raw Data'!K274</f>
        <v>1</v>
      </c>
      <c r="G274" s="4" t="str">
        <f>'Raw Data'!E274</f>
        <v>R128</v>
      </c>
      <c r="H274" s="4">
        <f>'Raw Data'!F274</f>
        <v>1</v>
      </c>
      <c r="I274" s="18">
        <f>'Raw Data'!L274</f>
        <v>0</v>
      </c>
    </row>
    <row r="275" spans="1:9" x14ac:dyDescent="0.3">
      <c r="A275" s="17" t="str">
        <f>'Raw Data'!A275</f>
        <v>Wimbledon</v>
      </c>
      <c r="B275" s="4" t="str">
        <f>'Raw Data'!B275</f>
        <v>Alex Bolt</v>
      </c>
      <c r="C275" s="4">
        <f>'Raw Data'!C275</f>
        <v>181</v>
      </c>
      <c r="D275" s="4">
        <f>'Raw Data'!D275</f>
        <v>0</v>
      </c>
      <c r="E275" s="4" t="str">
        <f>'Raw Data'!J275</f>
        <v>R128</v>
      </c>
      <c r="F275" s="4">
        <f>'Raw Data'!K275</f>
        <v>1</v>
      </c>
      <c r="G275" s="4" t="str">
        <f>'Raw Data'!E275</f>
        <v>R128</v>
      </c>
      <c r="H275" s="4">
        <f>'Raw Data'!F275</f>
        <v>1</v>
      </c>
      <c r="I275" s="18">
        <f>'Raw Data'!L275</f>
        <v>0</v>
      </c>
    </row>
    <row r="276" spans="1:9" x14ac:dyDescent="0.3">
      <c r="A276" s="17" t="str">
        <f>'Raw Data'!A276</f>
        <v>Wimbledon</v>
      </c>
      <c r="B276" s="4" t="str">
        <f>'Raw Data'!B276</f>
        <v>Corentin Moutet</v>
      </c>
      <c r="C276" s="4">
        <f>'Raw Data'!C276</f>
        <v>83</v>
      </c>
      <c r="D276" s="4">
        <f>'Raw Data'!D276</f>
        <v>0</v>
      </c>
      <c r="E276" s="4" t="str">
        <f>'Raw Data'!J276</f>
        <v>R128</v>
      </c>
      <c r="F276" s="4">
        <f>'Raw Data'!K276</f>
        <v>1</v>
      </c>
      <c r="G276" s="4" t="str">
        <f>'Raw Data'!E276</f>
        <v>R64</v>
      </c>
      <c r="H276" s="4">
        <f>'Raw Data'!F276</f>
        <v>2</v>
      </c>
      <c r="I276" s="18">
        <f>'Raw Data'!L276</f>
        <v>1</v>
      </c>
    </row>
    <row r="277" spans="1:9" x14ac:dyDescent="0.3">
      <c r="A277" s="17" t="str">
        <f>'Raw Data'!A277</f>
        <v>Wimbledon</v>
      </c>
      <c r="B277" s="4" t="str">
        <f>'Raw Data'!B277</f>
        <v>Francisco Comesana</v>
      </c>
      <c r="C277" s="4">
        <f>'Raw Data'!C277</f>
        <v>65</v>
      </c>
      <c r="D277" s="4">
        <f>'Raw Data'!D277</f>
        <v>0</v>
      </c>
      <c r="E277" s="4" t="str">
        <f>'Raw Data'!J277</f>
        <v>R128</v>
      </c>
      <c r="F277" s="4">
        <f>'Raw Data'!K277</f>
        <v>1</v>
      </c>
      <c r="G277" s="4" t="str">
        <f>'Raw Data'!E277</f>
        <v>R128</v>
      </c>
      <c r="H277" s="4">
        <f>'Raw Data'!F277</f>
        <v>1</v>
      </c>
      <c r="I277" s="18">
        <f>'Raw Data'!L277</f>
        <v>0</v>
      </c>
    </row>
    <row r="278" spans="1:9" x14ac:dyDescent="0.3">
      <c r="A278" s="17" t="str">
        <f>'Raw Data'!A278</f>
        <v>Wimbledon</v>
      </c>
      <c r="B278" s="4" t="str">
        <f>'Raw Data'!B278</f>
        <v>David Goffin</v>
      </c>
      <c r="C278" s="4">
        <f>'Raw Data'!C278</f>
        <v>63</v>
      </c>
      <c r="D278" s="4">
        <f>'Raw Data'!D278</f>
        <v>0</v>
      </c>
      <c r="E278" s="4" t="str">
        <f>'Raw Data'!J278</f>
        <v>R64</v>
      </c>
      <c r="F278" s="4">
        <f>'Raw Data'!K278</f>
        <v>2</v>
      </c>
      <c r="G278" s="4" t="str">
        <f>'Raw Data'!E278</f>
        <v>R128</v>
      </c>
      <c r="H278" s="4">
        <f>'Raw Data'!F278</f>
        <v>1</v>
      </c>
      <c r="I278" s="18">
        <f>'Raw Data'!L278</f>
        <v>-1</v>
      </c>
    </row>
    <row r="279" spans="1:9" x14ac:dyDescent="0.3">
      <c r="A279" s="17" t="str">
        <f>'Raw Data'!A279</f>
        <v>Wimbledon</v>
      </c>
      <c r="B279" s="4" t="str">
        <f>'Raw Data'!B279</f>
        <v>Sebastian Ofner</v>
      </c>
      <c r="C279" s="4">
        <f>'Raw Data'!C279</f>
        <v>115</v>
      </c>
      <c r="D279" s="4">
        <f>'Raw Data'!D279</f>
        <v>0</v>
      </c>
      <c r="E279" s="4" t="str">
        <f>'Raw Data'!J279</f>
        <v>R128</v>
      </c>
      <c r="F279" s="4">
        <f>'Raw Data'!K279</f>
        <v>1</v>
      </c>
      <c r="G279" s="4" t="str">
        <f>'Raw Data'!E279</f>
        <v>R32</v>
      </c>
      <c r="H279" s="4">
        <f>'Raw Data'!F279</f>
        <v>3</v>
      </c>
      <c r="I279" s="18">
        <f>'Raw Data'!L279</f>
        <v>2</v>
      </c>
    </row>
    <row r="280" spans="1:9" x14ac:dyDescent="0.3">
      <c r="A280" s="17" t="str">
        <f>'Raw Data'!A280</f>
        <v>Wimbledon</v>
      </c>
      <c r="B280" s="4" t="str">
        <f>'Raw Data'!B280</f>
        <v>Hamad Medjedovic</v>
      </c>
      <c r="C280" s="4">
        <f>'Raw Data'!C280</f>
        <v>73</v>
      </c>
      <c r="D280" s="4">
        <f>'Raw Data'!D280</f>
        <v>0</v>
      </c>
      <c r="E280" s="4" t="str">
        <f>'Raw Data'!J280</f>
        <v>R128</v>
      </c>
      <c r="F280" s="4">
        <f>'Raw Data'!K280</f>
        <v>1</v>
      </c>
      <c r="G280" s="4" t="str">
        <f>'Raw Data'!E280</f>
        <v>R128</v>
      </c>
      <c r="H280" s="4">
        <f>'Raw Data'!F280</f>
        <v>1</v>
      </c>
      <c r="I280" s="18">
        <f>'Raw Data'!L280</f>
        <v>0</v>
      </c>
    </row>
    <row r="281" spans="1:9" x14ac:dyDescent="0.3">
      <c r="A281" s="17" t="str">
        <f>'Raw Data'!A281</f>
        <v>Wimbledon</v>
      </c>
      <c r="B281" s="4" t="str">
        <f>'Raw Data'!B281</f>
        <v>Marton Fucsovics</v>
      </c>
      <c r="C281" s="4">
        <f>'Raw Data'!C281</f>
        <v>103</v>
      </c>
      <c r="D281" s="4">
        <f>'Raw Data'!D281</f>
        <v>0</v>
      </c>
      <c r="E281" s="4" t="str">
        <f>'Raw Data'!J281</f>
        <v>R128</v>
      </c>
      <c r="F281" s="4">
        <f>'Raw Data'!K281</f>
        <v>1</v>
      </c>
      <c r="G281" s="4" t="str">
        <f>'Raw Data'!E281</f>
        <v>R32</v>
      </c>
      <c r="H281" s="4">
        <f>'Raw Data'!F281</f>
        <v>3</v>
      </c>
      <c r="I281" s="18">
        <f>'Raw Data'!L281</f>
        <v>2</v>
      </c>
    </row>
    <row r="282" spans="1:9" x14ac:dyDescent="0.3">
      <c r="A282" s="17" t="str">
        <f>'Raw Data'!A282</f>
        <v>Wimbledon</v>
      </c>
      <c r="B282" s="4" t="str">
        <f>'Raw Data'!B282</f>
        <v>Tommy Paul</v>
      </c>
      <c r="C282" s="4">
        <f>'Raw Data'!C282</f>
        <v>13</v>
      </c>
      <c r="D282" s="4">
        <f>'Raw Data'!D282</f>
        <v>13</v>
      </c>
      <c r="E282" s="4" t="str">
        <f>'Raw Data'!J282</f>
        <v>R16</v>
      </c>
      <c r="F282" s="4">
        <f>'Raw Data'!K282</f>
        <v>4</v>
      </c>
      <c r="G282" s="4" t="str">
        <f>'Raw Data'!E282</f>
        <v>R64</v>
      </c>
      <c r="H282" s="4">
        <f>'Raw Data'!F282</f>
        <v>2</v>
      </c>
      <c r="I282" s="18">
        <f>'Raw Data'!L282</f>
        <v>-2</v>
      </c>
    </row>
    <row r="283" spans="1:9" x14ac:dyDescent="0.3">
      <c r="A283" s="17" t="str">
        <f>'Raw Data'!A283</f>
        <v>Wimbledon</v>
      </c>
      <c r="B283" s="4" t="str">
        <f>'Raw Data'!B283</f>
        <v>Johannus Monday</v>
      </c>
      <c r="C283" s="4">
        <f>'Raw Data'!C283</f>
        <v>236</v>
      </c>
      <c r="D283" s="4">
        <f>'Raw Data'!D283</f>
        <v>0</v>
      </c>
      <c r="E283" s="4" t="str">
        <f>'Raw Data'!J283</f>
        <v>R128</v>
      </c>
      <c r="F283" s="4">
        <f>'Raw Data'!K283</f>
        <v>1</v>
      </c>
      <c r="G283" s="4" t="str">
        <f>'Raw Data'!E283</f>
        <v>R128</v>
      </c>
      <c r="H283" s="4">
        <f>'Raw Data'!F283</f>
        <v>1</v>
      </c>
      <c r="I283" s="18">
        <f>'Raw Data'!L283</f>
        <v>0</v>
      </c>
    </row>
    <row r="284" spans="1:9" x14ac:dyDescent="0.3">
      <c r="A284" s="17" t="str">
        <f>'Raw Data'!A284</f>
        <v>Wimbledon</v>
      </c>
      <c r="B284" s="4" t="str">
        <f>'Raw Data'!B284</f>
        <v>Roberto Bautista Agut</v>
      </c>
      <c r="C284" s="4">
        <f>'Raw Data'!C284</f>
        <v>43</v>
      </c>
      <c r="D284" s="4">
        <f>'Raw Data'!D284</f>
        <v>0</v>
      </c>
      <c r="E284" s="4" t="str">
        <f>'Raw Data'!J284</f>
        <v>R64</v>
      </c>
      <c r="F284" s="4">
        <f>'Raw Data'!K284</f>
        <v>2</v>
      </c>
      <c r="G284" s="4" t="str">
        <f>'Raw Data'!E284</f>
        <v>R128</v>
      </c>
      <c r="H284" s="4">
        <f>'Raw Data'!F284</f>
        <v>1</v>
      </c>
      <c r="I284" s="18">
        <f>'Raw Data'!L284</f>
        <v>-1</v>
      </c>
    </row>
    <row r="285" spans="1:9" x14ac:dyDescent="0.3">
      <c r="A285" s="17" t="str">
        <f>'Raw Data'!A285</f>
        <v>Wimbledon</v>
      </c>
      <c r="B285" s="4" t="str">
        <f>'Raw Data'!B285</f>
        <v>Ben Shelton</v>
      </c>
      <c r="C285" s="4">
        <f>'Raw Data'!C285</f>
        <v>10</v>
      </c>
      <c r="D285" s="4">
        <f>'Raw Data'!D285</f>
        <v>10</v>
      </c>
      <c r="E285" s="4" t="str">
        <f>'Raw Data'!J285</f>
        <v>R16</v>
      </c>
      <c r="F285" s="4">
        <f>'Raw Data'!K285</f>
        <v>4</v>
      </c>
      <c r="G285" s="4" t="str">
        <f>'Raw Data'!E285</f>
        <v>Quarter-final</v>
      </c>
      <c r="H285" s="4">
        <f>'Raw Data'!F285</f>
        <v>5</v>
      </c>
      <c r="I285" s="18">
        <f>'Raw Data'!L285</f>
        <v>1</v>
      </c>
    </row>
    <row r="286" spans="1:9" x14ac:dyDescent="0.3">
      <c r="A286" s="17" t="str">
        <f>'Raw Data'!A286</f>
        <v>Wimbledon</v>
      </c>
      <c r="B286" s="4" t="str">
        <f>'Raw Data'!B286</f>
        <v>Adrian Mannarino</v>
      </c>
      <c r="C286" s="4">
        <f>'Raw Data'!C286</f>
        <v>125</v>
      </c>
      <c r="D286" s="4">
        <f>'Raw Data'!D286</f>
        <v>0</v>
      </c>
      <c r="E286" s="4" t="str">
        <f>'Raw Data'!J286</f>
        <v>R128</v>
      </c>
      <c r="F286" s="4">
        <f>'Raw Data'!K286</f>
        <v>1</v>
      </c>
      <c r="G286" s="4" t="str">
        <f>'Raw Data'!E286</f>
        <v>R32</v>
      </c>
      <c r="H286" s="4">
        <f>'Raw Data'!F286</f>
        <v>3</v>
      </c>
      <c r="I286" s="18">
        <f>'Raw Data'!L286</f>
        <v>2</v>
      </c>
    </row>
    <row r="287" spans="1:9" x14ac:dyDescent="0.3">
      <c r="A287" s="17" t="str">
        <f>'Raw Data'!A287</f>
        <v>Wimbledon</v>
      </c>
      <c r="B287" s="4" t="str">
        <f>'Raw Data'!B287</f>
        <v>Rinky Hijikata</v>
      </c>
      <c r="C287" s="4">
        <f>'Raw Data'!C287</f>
        <v>88</v>
      </c>
      <c r="D287" s="4">
        <f>'Raw Data'!D287</f>
        <v>0</v>
      </c>
      <c r="E287" s="4" t="str">
        <f>'Raw Data'!J287</f>
        <v>R128</v>
      </c>
      <c r="F287" s="4">
        <f>'Raw Data'!K287</f>
        <v>1</v>
      </c>
      <c r="G287" s="4" t="str">
        <f>'Raw Data'!E287</f>
        <v>R64</v>
      </c>
      <c r="H287" s="4">
        <f>'Raw Data'!F287</f>
        <v>2</v>
      </c>
      <c r="I287" s="18">
        <f>'Raw Data'!L287</f>
        <v>1</v>
      </c>
    </row>
    <row r="288" spans="1:9" x14ac:dyDescent="0.3">
      <c r="A288" s="17" t="str">
        <f>'Raw Data'!A288</f>
        <v>Wimbledon</v>
      </c>
      <c r="B288" s="4" t="str">
        <f>'Raw Data'!B288</f>
        <v>Marin Cilic</v>
      </c>
      <c r="C288" s="4">
        <f>'Raw Data'!C288</f>
        <v>85</v>
      </c>
      <c r="D288" s="4">
        <f>'Raw Data'!D288</f>
        <v>0</v>
      </c>
      <c r="E288" s="4" t="str">
        <f>'Raw Data'!J288</f>
        <v>R128</v>
      </c>
      <c r="F288" s="4">
        <f>'Raw Data'!K288</f>
        <v>1</v>
      </c>
      <c r="G288" s="4" t="str">
        <f>'Raw Data'!E288</f>
        <v>R16</v>
      </c>
      <c r="H288" s="4">
        <f>'Raw Data'!F288</f>
        <v>4</v>
      </c>
      <c r="I288" s="18">
        <f>'Raw Data'!L288</f>
        <v>3</v>
      </c>
    </row>
    <row r="289" spans="1:9" x14ac:dyDescent="0.3">
      <c r="A289" s="17" t="str">
        <f>'Raw Data'!A289</f>
        <v>Wimbledon</v>
      </c>
      <c r="B289" s="4" t="str">
        <f>'Raw Data'!B289</f>
        <v>Nikoloz Basilashvili</v>
      </c>
      <c r="C289" s="4">
        <f>'Raw Data'!C289</f>
        <v>128</v>
      </c>
      <c r="D289" s="4">
        <f>'Raw Data'!D289</f>
        <v>0</v>
      </c>
      <c r="E289" s="4" t="str">
        <f>'Raw Data'!J289</f>
        <v>R128</v>
      </c>
      <c r="F289" s="4">
        <f>'Raw Data'!K289</f>
        <v>1</v>
      </c>
      <c r="G289" s="4" t="str">
        <f>'Raw Data'!E289</f>
        <v>R64</v>
      </c>
      <c r="H289" s="4">
        <f>'Raw Data'!F289</f>
        <v>2</v>
      </c>
      <c r="I289" s="18">
        <f>'Raw Data'!L289</f>
        <v>1</v>
      </c>
    </row>
    <row r="290" spans="1:9" x14ac:dyDescent="0.3">
      <c r="A290" s="17" t="str">
        <f>'Raw Data'!A290</f>
        <v>Wimbledon</v>
      </c>
      <c r="B290" s="4" t="str">
        <f>'Raw Data'!B290</f>
        <v>Aleksandar Kovacevic</v>
      </c>
      <c r="C290" s="4">
        <f>'Raw Data'!C290</f>
        <v>77</v>
      </c>
      <c r="D290" s="4">
        <f>'Raw Data'!D290</f>
        <v>0</v>
      </c>
      <c r="E290" s="4" t="str">
        <f>'Raw Data'!J290</f>
        <v>R128</v>
      </c>
      <c r="F290" s="4">
        <f>'Raw Data'!K290</f>
        <v>1</v>
      </c>
      <c r="G290" s="4" t="str">
        <f>'Raw Data'!E290</f>
        <v>R128</v>
      </c>
      <c r="H290" s="4">
        <f>'Raw Data'!F290</f>
        <v>1</v>
      </c>
      <c r="I290" s="18">
        <f>'Raw Data'!L290</f>
        <v>0</v>
      </c>
    </row>
    <row r="291" spans="1:9" x14ac:dyDescent="0.3">
      <c r="A291" s="17" t="str">
        <f>'Raw Data'!A291</f>
        <v>Wimbledon</v>
      </c>
      <c r="B291" s="4" t="str">
        <f>'Raw Data'!B291</f>
        <v>Jan Lennard Struff</v>
      </c>
      <c r="C291" s="4">
        <f>'Raw Data'!C291</f>
        <v>127</v>
      </c>
      <c r="D291" s="4">
        <f>'Raw Data'!D291</f>
        <v>0</v>
      </c>
      <c r="E291" s="4" t="str">
        <f>'Raw Data'!J291</f>
        <v>R128</v>
      </c>
      <c r="F291" s="4">
        <f>'Raw Data'!K291</f>
        <v>1</v>
      </c>
      <c r="G291" s="4" t="str">
        <f>'Raw Data'!E291</f>
        <v>R32</v>
      </c>
      <c r="H291" s="4">
        <f>'Raw Data'!F291</f>
        <v>3</v>
      </c>
      <c r="I291" s="18">
        <f>'Raw Data'!L291</f>
        <v>2</v>
      </c>
    </row>
    <row r="292" spans="1:9" x14ac:dyDescent="0.3">
      <c r="A292" s="17" t="str">
        <f>'Raw Data'!A292</f>
        <v>Wimbledon</v>
      </c>
      <c r="B292" s="4" t="str">
        <f>'Raw Data'!B292</f>
        <v>Ugo Humbert</v>
      </c>
      <c r="C292" s="4">
        <f>'Raw Data'!C292</f>
        <v>20</v>
      </c>
      <c r="D292" s="4">
        <f>'Raw Data'!D292</f>
        <v>18</v>
      </c>
      <c r="E292" s="4" t="str">
        <f>'Raw Data'!J292</f>
        <v>R32</v>
      </c>
      <c r="F292" s="4">
        <f>'Raw Data'!K292</f>
        <v>3</v>
      </c>
      <c r="G292" s="4" t="str">
        <f>'Raw Data'!E292</f>
        <v>R128</v>
      </c>
      <c r="H292" s="4">
        <f>'Raw Data'!F292</f>
        <v>1</v>
      </c>
      <c r="I292" s="18">
        <f>'Raw Data'!L292</f>
        <v>-2</v>
      </c>
    </row>
    <row r="293" spans="1:9" x14ac:dyDescent="0.3">
      <c r="A293" s="17" t="str">
        <f>'Raw Data'!A293</f>
        <v>Wimbledon</v>
      </c>
      <c r="B293" s="4" t="str">
        <f>'Raw Data'!B293</f>
        <v>Brandon Nakashima</v>
      </c>
      <c r="C293" s="4">
        <f>'Raw Data'!C293</f>
        <v>32</v>
      </c>
      <c r="D293" s="4">
        <f>'Raw Data'!D293</f>
        <v>29</v>
      </c>
      <c r="E293" s="4" t="str">
        <f>'Raw Data'!J293</f>
        <v>R32</v>
      </c>
      <c r="F293" s="4">
        <f>'Raw Data'!K293</f>
        <v>3</v>
      </c>
      <c r="G293" s="4" t="str">
        <f>'Raw Data'!E293</f>
        <v>R32</v>
      </c>
      <c r="H293" s="4">
        <f>'Raw Data'!F293</f>
        <v>3</v>
      </c>
      <c r="I293" s="18">
        <f>'Raw Data'!L293</f>
        <v>0</v>
      </c>
    </row>
    <row r="294" spans="1:9" x14ac:dyDescent="0.3">
      <c r="A294" s="17" t="str">
        <f>'Raw Data'!A294</f>
        <v>Wimbledon</v>
      </c>
      <c r="B294" s="4" t="str">
        <f>'Raw Data'!B294</f>
        <v>Marcos Giron</v>
      </c>
      <c r="C294" s="4">
        <f>'Raw Data'!C294</f>
        <v>46</v>
      </c>
      <c r="D294" s="4">
        <f>'Raw Data'!D294</f>
        <v>0</v>
      </c>
      <c r="E294" s="4" t="str">
        <f>'Raw Data'!J294</f>
        <v>R64</v>
      </c>
      <c r="F294" s="4">
        <f>'Raw Data'!K294</f>
        <v>2</v>
      </c>
      <c r="G294" s="4" t="str">
        <f>'Raw Data'!E294</f>
        <v>R64</v>
      </c>
      <c r="H294" s="4">
        <f>'Raw Data'!F294</f>
        <v>2</v>
      </c>
      <c r="I294" s="18">
        <f>'Raw Data'!L294</f>
        <v>0</v>
      </c>
    </row>
    <row r="295" spans="1:9" x14ac:dyDescent="0.3">
      <c r="A295" s="17" t="str">
        <f>'Raw Data'!A295</f>
        <v>Wimbledon</v>
      </c>
      <c r="B295" s="4" t="str">
        <f>'Raw Data'!B295</f>
        <v>Bu Yunchaokete</v>
      </c>
      <c r="C295" s="4">
        <f>'Raw Data'!C295</f>
        <v>69</v>
      </c>
      <c r="D295" s="4">
        <f>'Raw Data'!D295</f>
        <v>0</v>
      </c>
      <c r="E295" s="4" t="str">
        <f>'Raw Data'!J295</f>
        <v>R128</v>
      </c>
      <c r="F295" s="4">
        <f>'Raw Data'!K295</f>
        <v>1</v>
      </c>
      <c r="G295" s="4" t="str">
        <f>'Raw Data'!E295</f>
        <v>R128</v>
      </c>
      <c r="H295" s="4">
        <f>'Raw Data'!F295</f>
        <v>1</v>
      </c>
      <c r="I295" s="18">
        <f>'Raw Data'!L295</f>
        <v>0</v>
      </c>
    </row>
    <row r="296" spans="1:9" x14ac:dyDescent="0.3">
      <c r="A296" s="17" t="str">
        <f>'Raw Data'!A296</f>
        <v>Wimbledon</v>
      </c>
      <c r="B296" s="4" t="str">
        <f>'Raw Data'!B296</f>
        <v>Reilly Opelka</v>
      </c>
      <c r="C296" s="4">
        <f>'Raw Data'!C296</f>
        <v>72</v>
      </c>
      <c r="D296" s="4">
        <f>'Raw Data'!D296</f>
        <v>0</v>
      </c>
      <c r="E296" s="4" t="str">
        <f>'Raw Data'!J296</f>
        <v>R128</v>
      </c>
      <c r="F296" s="4">
        <f>'Raw Data'!K296</f>
        <v>1</v>
      </c>
      <c r="G296" s="4" t="str">
        <f>'Raw Data'!E296</f>
        <v>R64</v>
      </c>
      <c r="H296" s="4">
        <f>'Raw Data'!F296</f>
        <v>2</v>
      </c>
      <c r="I296" s="18">
        <f>'Raw Data'!L296</f>
        <v>1</v>
      </c>
    </row>
    <row r="297" spans="1:9" x14ac:dyDescent="0.3">
      <c r="A297" s="17" t="str">
        <f>'Raw Data'!A297</f>
        <v>Wimbledon</v>
      </c>
      <c r="B297" s="4" t="str">
        <f>'Raw Data'!B297</f>
        <v>Daniel Evans</v>
      </c>
      <c r="C297" s="4">
        <f>'Raw Data'!C297</f>
        <v>170</v>
      </c>
      <c r="D297" s="4">
        <f>'Raw Data'!D297</f>
        <v>0</v>
      </c>
      <c r="E297" s="4" t="str">
        <f>'Raw Data'!J297</f>
        <v>R128</v>
      </c>
      <c r="F297" s="4">
        <f>'Raw Data'!K297</f>
        <v>1</v>
      </c>
      <c r="G297" s="4" t="str">
        <f>'Raw Data'!E297</f>
        <v>R64</v>
      </c>
      <c r="H297" s="4">
        <f>'Raw Data'!F297</f>
        <v>2</v>
      </c>
      <c r="I297" s="18">
        <f>'Raw Data'!L297</f>
        <v>1</v>
      </c>
    </row>
    <row r="298" spans="1:9" x14ac:dyDescent="0.3">
      <c r="A298" s="17" t="str">
        <f>'Raw Data'!A298</f>
        <v>Wimbledon</v>
      </c>
      <c r="B298" s="4" t="str">
        <f>'Raw Data'!B298</f>
        <v>Alexander Shevchenko</v>
      </c>
      <c r="C298" s="4">
        <f>'Raw Data'!C298</f>
        <v>97</v>
      </c>
      <c r="D298" s="4">
        <f>'Raw Data'!D298</f>
        <v>0</v>
      </c>
      <c r="E298" s="4" t="str">
        <f>'Raw Data'!J298</f>
        <v>R128</v>
      </c>
      <c r="F298" s="4">
        <f>'Raw Data'!K298</f>
        <v>1</v>
      </c>
      <c r="G298" s="4" t="str">
        <f>'Raw Data'!E298</f>
        <v>R128</v>
      </c>
      <c r="H298" s="4">
        <f>'Raw Data'!F298</f>
        <v>1</v>
      </c>
      <c r="I298" s="18">
        <f>'Raw Data'!L298</f>
        <v>0</v>
      </c>
    </row>
    <row r="299" spans="1:9" x14ac:dyDescent="0.3">
      <c r="A299" s="17" t="str">
        <f>'Raw Data'!A299</f>
        <v>Wimbledon</v>
      </c>
      <c r="B299" s="4" t="str">
        <f>'Raw Data'!B299</f>
        <v>Lorenzo Sonego</v>
      </c>
      <c r="C299" s="4">
        <f>'Raw Data'!C299</f>
        <v>48</v>
      </c>
      <c r="D299" s="4">
        <f>'Raw Data'!D299</f>
        <v>0</v>
      </c>
      <c r="E299" s="4" t="str">
        <f>'Raw Data'!J299</f>
        <v>R64</v>
      </c>
      <c r="F299" s="4">
        <f>'Raw Data'!K299</f>
        <v>2</v>
      </c>
      <c r="G299" s="4" t="str">
        <f>'Raw Data'!E299</f>
        <v>R16</v>
      </c>
      <c r="H299" s="4">
        <f>'Raw Data'!F299</f>
        <v>4</v>
      </c>
      <c r="I299" s="18">
        <f>'Raw Data'!L299</f>
        <v>2</v>
      </c>
    </row>
    <row r="300" spans="1:9" x14ac:dyDescent="0.3">
      <c r="A300" s="17" t="str">
        <f>'Raw Data'!A300</f>
        <v>Wimbledon</v>
      </c>
      <c r="B300" s="4" t="str">
        <f>'Raw Data'!B300</f>
        <v>Roberto Carballes Baena</v>
      </c>
      <c r="C300" s="4">
        <f>'Raw Data'!C300</f>
        <v>71</v>
      </c>
      <c r="D300" s="4">
        <f>'Raw Data'!D300</f>
        <v>0</v>
      </c>
      <c r="E300" s="4" t="str">
        <f>'Raw Data'!J300</f>
        <v>R128</v>
      </c>
      <c r="F300" s="4">
        <f>'Raw Data'!K300</f>
        <v>1</v>
      </c>
      <c r="G300" s="4" t="str">
        <f>'Raw Data'!E300</f>
        <v>R128</v>
      </c>
      <c r="H300" s="4">
        <f>'Raw Data'!F300</f>
        <v>1</v>
      </c>
      <c r="I300" s="18">
        <f>'Raw Data'!L300</f>
        <v>0</v>
      </c>
    </row>
    <row r="301" spans="1:9" x14ac:dyDescent="0.3">
      <c r="A301" s="17" t="str">
        <f>'Raw Data'!A301</f>
        <v>Wimbledon</v>
      </c>
      <c r="B301" s="4" t="str">
        <f>'Raw Data'!B301</f>
        <v>Jaime Faria</v>
      </c>
      <c r="C301" s="4">
        <f>'Raw Data'!C301</f>
        <v>117</v>
      </c>
      <c r="D301" s="4">
        <f>'Raw Data'!D301</f>
        <v>0</v>
      </c>
      <c r="E301" s="4" t="str">
        <f>'Raw Data'!J301</f>
        <v>R128</v>
      </c>
      <c r="F301" s="4">
        <f>'Raw Data'!K301</f>
        <v>1</v>
      </c>
      <c r="G301" s="4" t="str">
        <f>'Raw Data'!E301</f>
        <v>R128</v>
      </c>
      <c r="H301" s="4">
        <f>'Raw Data'!F301</f>
        <v>1</v>
      </c>
      <c r="I301" s="18">
        <f>'Raw Data'!L301</f>
        <v>0</v>
      </c>
    </row>
    <row r="302" spans="1:9" x14ac:dyDescent="0.3">
      <c r="A302" s="17" t="str">
        <f>'Raw Data'!A302</f>
        <v>Wimbledon</v>
      </c>
      <c r="B302" s="4" t="str">
        <f>'Raw Data'!B302</f>
        <v>Dusan Lajovic</v>
      </c>
      <c r="C302" s="4">
        <f>'Raw Data'!C302</f>
        <v>118</v>
      </c>
      <c r="D302" s="4">
        <f>'Raw Data'!D302</f>
        <v>0</v>
      </c>
      <c r="E302" s="4" t="str">
        <f>'Raw Data'!J302</f>
        <v>R128</v>
      </c>
      <c r="F302" s="4">
        <f>'Raw Data'!K302</f>
        <v>1</v>
      </c>
      <c r="G302" s="4" t="str">
        <f>'Raw Data'!E302</f>
        <v>R128</v>
      </c>
      <c r="H302" s="4">
        <f>'Raw Data'!F302</f>
        <v>1</v>
      </c>
      <c r="I302" s="18">
        <f>'Raw Data'!L302</f>
        <v>0</v>
      </c>
    </row>
    <row r="303" spans="1:9" x14ac:dyDescent="0.3">
      <c r="A303" s="17" t="str">
        <f>'Raw Data'!A303</f>
        <v>Wimbledon</v>
      </c>
      <c r="B303" s="4" t="str">
        <f>'Raw Data'!B303</f>
        <v>Lorenzo Musetti</v>
      </c>
      <c r="C303" s="4">
        <f>'Raw Data'!C303</f>
        <v>7</v>
      </c>
      <c r="D303" s="4">
        <f>'Raw Data'!D303</f>
        <v>7</v>
      </c>
      <c r="E303" s="4" t="str">
        <f>'Raw Data'!J303</f>
        <v>Quarter-final</v>
      </c>
      <c r="F303" s="4">
        <f>'Raw Data'!K303</f>
        <v>5</v>
      </c>
      <c r="G303" s="4" t="str">
        <f>'Raw Data'!E303</f>
        <v>R128</v>
      </c>
      <c r="H303" s="4">
        <f>'Raw Data'!F303</f>
        <v>1</v>
      </c>
      <c r="I303" s="18">
        <f>'Raw Data'!L303</f>
        <v>-4</v>
      </c>
    </row>
    <row r="304" spans="1:9" x14ac:dyDescent="0.3">
      <c r="A304" s="17" t="str">
        <f>'Raw Data'!A304</f>
        <v>Wimbledon</v>
      </c>
      <c r="B304" s="4" t="str">
        <f>'Raw Data'!B304</f>
        <v>Jack Draper</v>
      </c>
      <c r="C304" s="4">
        <f>'Raw Data'!C304</f>
        <v>4</v>
      </c>
      <c r="D304" s="4">
        <f>'Raw Data'!D304</f>
        <v>4</v>
      </c>
      <c r="E304" s="4" t="str">
        <f>'Raw Data'!J304</f>
        <v>Semi-final</v>
      </c>
      <c r="F304" s="4">
        <f>'Raw Data'!K304</f>
        <v>6</v>
      </c>
      <c r="G304" s="4" t="str">
        <f>'Raw Data'!E304</f>
        <v>R64</v>
      </c>
      <c r="H304" s="4">
        <f>'Raw Data'!F304</f>
        <v>2</v>
      </c>
      <c r="I304" s="18">
        <f>'Raw Data'!L304</f>
        <v>-4</v>
      </c>
    </row>
    <row r="305" spans="1:9" x14ac:dyDescent="0.3">
      <c r="A305" s="17" t="str">
        <f>'Raw Data'!A305</f>
        <v>Wimbledon</v>
      </c>
      <c r="B305" s="4" t="str">
        <f>'Raw Data'!B305</f>
        <v>Damir Dzumhur</v>
      </c>
      <c r="C305" s="4">
        <f>'Raw Data'!C305</f>
        <v>68</v>
      </c>
      <c r="D305" s="4">
        <f>'Raw Data'!D305</f>
        <v>0</v>
      </c>
      <c r="E305" s="4" t="str">
        <f>'Raw Data'!J305</f>
        <v>R128</v>
      </c>
      <c r="F305" s="4">
        <f>'Raw Data'!K305</f>
        <v>1</v>
      </c>
      <c r="G305" s="4" t="str">
        <f>'Raw Data'!E305</f>
        <v>R128</v>
      </c>
      <c r="H305" s="4">
        <f>'Raw Data'!F305</f>
        <v>1</v>
      </c>
      <c r="I305" s="18">
        <f>'Raw Data'!L305</f>
        <v>0</v>
      </c>
    </row>
    <row r="306" spans="1:9" x14ac:dyDescent="0.3">
      <c r="A306" s="17" t="str">
        <f>'Raw Data'!A306</f>
        <v>Wimbledon</v>
      </c>
      <c r="B306" s="4" t="str">
        <f>'Raw Data'!B306</f>
        <v>Sebastian Baez</v>
      </c>
      <c r="C306" s="4">
        <f>'Raw Data'!C306</f>
        <v>38</v>
      </c>
      <c r="D306" s="4">
        <f>'Raw Data'!D306</f>
        <v>0</v>
      </c>
      <c r="E306" s="4" t="str">
        <f>'Raw Data'!J306</f>
        <v>R64</v>
      </c>
      <c r="F306" s="4">
        <f>'Raw Data'!K306</f>
        <v>2</v>
      </c>
      <c r="G306" s="4" t="str">
        <f>'Raw Data'!E306</f>
        <v>R128</v>
      </c>
      <c r="H306" s="4">
        <f>'Raw Data'!F306</f>
        <v>1</v>
      </c>
      <c r="I306" s="18">
        <f>'Raw Data'!L306</f>
        <v>-1</v>
      </c>
    </row>
    <row r="307" spans="1:9" x14ac:dyDescent="0.3">
      <c r="A307" s="17" t="str">
        <f>'Raw Data'!A307</f>
        <v>Wimbledon</v>
      </c>
      <c r="B307" s="4" t="str">
        <f>'Raw Data'!B307</f>
        <v>James Duckworth</v>
      </c>
      <c r="C307" s="4">
        <f>'Raw Data'!C307</f>
        <v>106</v>
      </c>
      <c r="D307" s="4">
        <f>'Raw Data'!D307</f>
        <v>0</v>
      </c>
      <c r="E307" s="4" t="str">
        <f>'Raw Data'!J307</f>
        <v>R128</v>
      </c>
      <c r="F307" s="4">
        <f>'Raw Data'!K307</f>
        <v>1</v>
      </c>
      <c r="G307" s="4" t="str">
        <f>'Raw Data'!E307</f>
        <v>R128</v>
      </c>
      <c r="H307" s="4">
        <f>'Raw Data'!F307</f>
        <v>1</v>
      </c>
      <c r="I307" s="18">
        <f>'Raw Data'!L307</f>
        <v>0</v>
      </c>
    </row>
    <row r="308" spans="1:9" x14ac:dyDescent="0.3">
      <c r="A308" s="17" t="str">
        <f>'Raw Data'!A308</f>
        <v>Wimbledon</v>
      </c>
      <c r="B308" s="4" t="str">
        <f>'Raw Data'!B308</f>
        <v>Raphael Collignon</v>
      </c>
      <c r="C308" s="4">
        <f>'Raw Data'!C308</f>
        <v>87</v>
      </c>
      <c r="D308" s="4">
        <f>'Raw Data'!D308</f>
        <v>0</v>
      </c>
      <c r="E308" s="4" t="str">
        <f>'Raw Data'!J308</f>
        <v>R128</v>
      </c>
      <c r="F308" s="4">
        <f>'Raw Data'!K308</f>
        <v>1</v>
      </c>
      <c r="G308" s="4" t="str">
        <f>'Raw Data'!E308</f>
        <v>R128</v>
      </c>
      <c r="H308" s="4">
        <f>'Raw Data'!F308</f>
        <v>1</v>
      </c>
      <c r="I308" s="18">
        <f>'Raw Data'!L308</f>
        <v>0</v>
      </c>
    </row>
    <row r="309" spans="1:9" x14ac:dyDescent="0.3">
      <c r="A309" s="17" t="str">
        <f>'Raw Data'!A309</f>
        <v>Wimbledon</v>
      </c>
      <c r="B309" s="4" t="str">
        <f>'Raw Data'!B309</f>
        <v>Hugo Dellien</v>
      </c>
      <c r="C309" s="4">
        <f>'Raw Data'!C309</f>
        <v>81</v>
      </c>
      <c r="D309" s="4">
        <f>'Raw Data'!D309</f>
        <v>0</v>
      </c>
      <c r="E309" s="4" t="str">
        <f>'Raw Data'!J309</f>
        <v>R128</v>
      </c>
      <c r="F309" s="4">
        <f>'Raw Data'!K309</f>
        <v>1</v>
      </c>
      <c r="G309" s="4" t="str">
        <f>'Raw Data'!E309</f>
        <v>R128</v>
      </c>
      <c r="H309" s="4">
        <f>'Raw Data'!F309</f>
        <v>1</v>
      </c>
      <c r="I309" s="18">
        <f>'Raw Data'!L309</f>
        <v>0</v>
      </c>
    </row>
    <row r="310" spans="1:9" x14ac:dyDescent="0.3">
      <c r="A310" s="17" t="str">
        <f>'Raw Data'!A310</f>
        <v>Wimbledon</v>
      </c>
      <c r="B310" s="4" t="str">
        <f>'Raw Data'!B310</f>
        <v>Fabian Marozsan</v>
      </c>
      <c r="C310" s="4">
        <f>'Raw Data'!C310</f>
        <v>58</v>
      </c>
      <c r="D310" s="4">
        <f>'Raw Data'!D310</f>
        <v>0</v>
      </c>
      <c r="E310" s="4" t="str">
        <f>'Raw Data'!J310</f>
        <v>R64</v>
      </c>
      <c r="F310" s="4">
        <f>'Raw Data'!K310</f>
        <v>2</v>
      </c>
      <c r="G310" s="4" t="str">
        <f>'Raw Data'!E310</f>
        <v>R64</v>
      </c>
      <c r="H310" s="4">
        <f>'Raw Data'!F310</f>
        <v>2</v>
      </c>
      <c r="I310" s="18">
        <f>'Raw Data'!L310</f>
        <v>0</v>
      </c>
    </row>
    <row r="311" spans="1:9" x14ac:dyDescent="0.3">
      <c r="A311" s="17" t="str">
        <f>'Raw Data'!A311</f>
        <v>Wimbledon</v>
      </c>
      <c r="B311" s="4" t="str">
        <f>'Raw Data'!B311</f>
        <v>Christopher Oconnell</v>
      </c>
      <c r="C311" s="4">
        <f>'Raw Data'!C311</f>
        <v>79</v>
      </c>
      <c r="D311" s="4">
        <f>'Raw Data'!D311</f>
        <v>0</v>
      </c>
      <c r="E311" s="4" t="str">
        <f>'Raw Data'!J311</f>
        <v>R128</v>
      </c>
      <c r="F311" s="4">
        <f>'Raw Data'!K311</f>
        <v>1</v>
      </c>
      <c r="G311" s="4" t="str">
        <f>'Raw Data'!E311</f>
        <v>R128</v>
      </c>
      <c r="H311" s="4">
        <f>'Raw Data'!F311</f>
        <v>1</v>
      </c>
      <c r="I311" s="18">
        <f>'Raw Data'!L311</f>
        <v>0</v>
      </c>
    </row>
    <row r="312" spans="1:9" x14ac:dyDescent="0.3">
      <c r="A312" s="17" t="str">
        <f>'Raw Data'!A312</f>
        <v>Wimbledon</v>
      </c>
      <c r="B312" s="4" t="str">
        <f>'Raw Data'!B312</f>
        <v>James Mccabe</v>
      </c>
      <c r="C312" s="4">
        <f>'Raw Data'!C312</f>
        <v>177</v>
      </c>
      <c r="D312" s="4">
        <f>'Raw Data'!D312</f>
        <v>0</v>
      </c>
      <c r="E312" s="4" t="str">
        <f>'Raw Data'!J312</f>
        <v>R128</v>
      </c>
      <c r="F312" s="4">
        <f>'Raw Data'!K312</f>
        <v>1</v>
      </c>
      <c r="G312" s="4" t="str">
        <f>'Raw Data'!E312</f>
        <v>R128</v>
      </c>
      <c r="H312" s="4">
        <f>'Raw Data'!F312</f>
        <v>1</v>
      </c>
      <c r="I312" s="18">
        <f>'Raw Data'!L312</f>
        <v>0</v>
      </c>
    </row>
    <row r="313" spans="1:9" x14ac:dyDescent="0.3">
      <c r="A313" s="17" t="str">
        <f>'Raw Data'!A313</f>
        <v>Wimbledon</v>
      </c>
      <c r="B313" s="4" t="str">
        <f>'Raw Data'!B313</f>
        <v>Jaume Munar</v>
      </c>
      <c r="C313" s="4">
        <f>'Raw Data'!C313</f>
        <v>54</v>
      </c>
      <c r="D313" s="4">
        <f>'Raw Data'!D313</f>
        <v>0</v>
      </c>
      <c r="E313" s="4" t="str">
        <f>'Raw Data'!J313</f>
        <v>R64</v>
      </c>
      <c r="F313" s="4">
        <f>'Raw Data'!K313</f>
        <v>2</v>
      </c>
      <c r="G313" s="4" t="str">
        <f>'Raw Data'!E313</f>
        <v>R32</v>
      </c>
      <c r="H313" s="4">
        <f>'Raw Data'!F313</f>
        <v>3</v>
      </c>
      <c r="I313" s="18">
        <f>'Raw Data'!L313</f>
        <v>1</v>
      </c>
    </row>
    <row r="314" spans="1:9" x14ac:dyDescent="0.3">
      <c r="A314" s="17" t="str">
        <f>'Raw Data'!A314</f>
        <v>Wimbledon</v>
      </c>
      <c r="B314" s="4" t="str">
        <f>'Raw Data'!B314</f>
        <v>Daniil Medvedev</v>
      </c>
      <c r="C314" s="4">
        <f>'Raw Data'!C314</f>
        <v>9</v>
      </c>
      <c r="D314" s="4">
        <f>'Raw Data'!D314</f>
        <v>9</v>
      </c>
      <c r="E314" s="4" t="str">
        <f>'Raw Data'!J314</f>
        <v>R16</v>
      </c>
      <c r="F314" s="4">
        <f>'Raw Data'!K314</f>
        <v>4</v>
      </c>
      <c r="G314" s="4" t="str">
        <f>'Raw Data'!E314</f>
        <v>R128</v>
      </c>
      <c r="H314" s="4">
        <f>'Raw Data'!F314</f>
        <v>1</v>
      </c>
      <c r="I314" s="18">
        <f>'Raw Data'!L314</f>
        <v>-3</v>
      </c>
    </row>
    <row r="315" spans="1:9" x14ac:dyDescent="0.3">
      <c r="A315" s="17" t="str">
        <f>'Raw Data'!A315</f>
        <v>Wimbledon</v>
      </c>
      <c r="B315" s="4" t="str">
        <f>'Raw Data'!B315</f>
        <v>Alexander Bublik</v>
      </c>
      <c r="C315" s="4">
        <f>'Raw Data'!C315</f>
        <v>30</v>
      </c>
      <c r="D315" s="4">
        <f>'Raw Data'!D315</f>
        <v>28</v>
      </c>
      <c r="E315" s="4" t="str">
        <f>'Raw Data'!J315</f>
        <v>R32</v>
      </c>
      <c r="F315" s="4">
        <f>'Raw Data'!K315</f>
        <v>3</v>
      </c>
      <c r="G315" s="4" t="str">
        <f>'Raw Data'!E315</f>
        <v>R128</v>
      </c>
      <c r="H315" s="4">
        <f>'Raw Data'!F315</f>
        <v>1</v>
      </c>
      <c r="I315" s="18">
        <f>'Raw Data'!L315</f>
        <v>-2</v>
      </c>
    </row>
    <row r="316" spans="1:9" x14ac:dyDescent="0.3">
      <c r="A316" s="17" t="str">
        <f>'Raw Data'!A316</f>
        <v>Wimbledon</v>
      </c>
      <c r="B316" s="4" t="str">
        <f>'Raw Data'!B316</f>
        <v>Cristian Garin</v>
      </c>
      <c r="C316" s="4">
        <f>'Raw Data'!C316</f>
        <v>109</v>
      </c>
      <c r="D316" s="4">
        <f>'Raw Data'!D316</f>
        <v>0</v>
      </c>
      <c r="E316" s="4" t="str">
        <f>'Raw Data'!J316</f>
        <v>R128</v>
      </c>
      <c r="F316" s="4">
        <f>'Raw Data'!K316</f>
        <v>1</v>
      </c>
      <c r="G316" s="4" t="str">
        <f>'Raw Data'!E316</f>
        <v>R64</v>
      </c>
      <c r="H316" s="4">
        <f>'Raw Data'!F316</f>
        <v>2</v>
      </c>
      <c r="I316" s="18">
        <f>'Raw Data'!L316</f>
        <v>1</v>
      </c>
    </row>
    <row r="317" spans="1:9" x14ac:dyDescent="0.3">
      <c r="A317" s="17" t="str">
        <f>'Raw Data'!A317</f>
        <v>Wimbledon</v>
      </c>
      <c r="B317" s="4" t="str">
        <f>'Raw Data'!B317</f>
        <v>Flavio Cobolli</v>
      </c>
      <c r="C317" s="4">
        <f>'Raw Data'!C317</f>
        <v>24</v>
      </c>
      <c r="D317" s="4">
        <f>'Raw Data'!D317</f>
        <v>22</v>
      </c>
      <c r="E317" s="4" t="str">
        <f>'Raw Data'!J317</f>
        <v>R32</v>
      </c>
      <c r="F317" s="4">
        <f>'Raw Data'!K317</f>
        <v>3</v>
      </c>
      <c r="G317" s="4" t="str">
        <f>'Raw Data'!E317</f>
        <v>Quarter-final</v>
      </c>
      <c r="H317" s="4">
        <f>'Raw Data'!F317</f>
        <v>5</v>
      </c>
      <c r="I317" s="18">
        <f>'Raw Data'!L317</f>
        <v>2</v>
      </c>
    </row>
    <row r="318" spans="1:9" x14ac:dyDescent="0.3">
      <c r="A318" s="17" t="str">
        <f>'Raw Data'!A318</f>
        <v>Wimbledon</v>
      </c>
      <c r="B318" s="4" t="str">
        <f>'Raw Data'!B318</f>
        <v>Beibit Zhukayev</v>
      </c>
      <c r="C318" s="4">
        <f>'Raw Data'!C318</f>
        <v>251</v>
      </c>
      <c r="D318" s="4">
        <f>'Raw Data'!D318</f>
        <v>0</v>
      </c>
      <c r="E318" s="4" t="str">
        <f>'Raw Data'!J318</f>
        <v>R128</v>
      </c>
      <c r="F318" s="4">
        <f>'Raw Data'!K318</f>
        <v>1</v>
      </c>
      <c r="G318" s="4" t="str">
        <f>'Raw Data'!E318</f>
        <v>R128</v>
      </c>
      <c r="H318" s="4">
        <f>'Raw Data'!F318</f>
        <v>1</v>
      </c>
      <c r="I318" s="18">
        <f>'Raw Data'!L318</f>
        <v>0</v>
      </c>
    </row>
    <row r="319" spans="1:9" x14ac:dyDescent="0.3">
      <c r="A319" s="17" t="str">
        <f>'Raw Data'!A319</f>
        <v>Wimbledon</v>
      </c>
      <c r="B319" s="4" t="str">
        <f>'Raw Data'!B319</f>
        <v>Christopher Eubanks</v>
      </c>
      <c r="C319" s="4">
        <f>'Raw Data'!C319</f>
        <v>131</v>
      </c>
      <c r="D319" s="4">
        <f>'Raw Data'!D319</f>
        <v>0</v>
      </c>
      <c r="E319" s="4" t="str">
        <f>'Raw Data'!J319</f>
        <v>R128</v>
      </c>
      <c r="F319" s="4">
        <f>'Raw Data'!K319</f>
        <v>1</v>
      </c>
      <c r="G319" s="4" t="str">
        <f>'Raw Data'!E319</f>
        <v>R128</v>
      </c>
      <c r="H319" s="4">
        <f>'Raw Data'!F319</f>
        <v>1</v>
      </c>
      <c r="I319" s="18">
        <f>'Raw Data'!L319</f>
        <v>0</v>
      </c>
    </row>
    <row r="320" spans="1:9" x14ac:dyDescent="0.3">
      <c r="A320" s="17" t="str">
        <f>'Raw Data'!A320</f>
        <v>Wimbledon</v>
      </c>
      <c r="B320" s="4" t="str">
        <f>'Raw Data'!B320</f>
        <v>Jack Pinnington Jones</v>
      </c>
      <c r="C320" s="4">
        <f>'Raw Data'!C320</f>
        <v>282</v>
      </c>
      <c r="D320" s="4">
        <f>'Raw Data'!D320</f>
        <v>0</v>
      </c>
      <c r="E320" s="4" t="str">
        <f>'Raw Data'!J320</f>
        <v>R128</v>
      </c>
      <c r="F320" s="4">
        <f>'Raw Data'!K320</f>
        <v>1</v>
      </c>
      <c r="G320" s="4" t="str">
        <f>'Raw Data'!E320</f>
        <v>R64</v>
      </c>
      <c r="H320" s="4">
        <f>'Raw Data'!F320</f>
        <v>2</v>
      </c>
      <c r="I320" s="18">
        <f>'Raw Data'!L320</f>
        <v>1</v>
      </c>
    </row>
    <row r="321" spans="1:9" x14ac:dyDescent="0.3">
      <c r="A321" s="17" t="str">
        <f>'Raw Data'!A321</f>
        <v>Wimbledon</v>
      </c>
      <c r="B321" s="4" t="str">
        <f>'Raw Data'!B321</f>
        <v>Tomas Martin Etcheverry</v>
      </c>
      <c r="C321" s="4">
        <f>'Raw Data'!C321</f>
        <v>53</v>
      </c>
      <c r="D321" s="4">
        <f>'Raw Data'!D321</f>
        <v>0</v>
      </c>
      <c r="E321" s="4" t="str">
        <f>'Raw Data'!J321</f>
        <v>R64</v>
      </c>
      <c r="F321" s="4">
        <f>'Raw Data'!K321</f>
        <v>2</v>
      </c>
      <c r="G321" s="4" t="str">
        <f>'Raw Data'!E321</f>
        <v>R128</v>
      </c>
      <c r="H321" s="4">
        <f>'Raw Data'!F321</f>
        <v>1</v>
      </c>
      <c r="I321" s="18">
        <f>'Raw Data'!L321</f>
        <v>-1</v>
      </c>
    </row>
    <row r="322" spans="1:9" x14ac:dyDescent="0.3">
      <c r="A322" s="17" t="str">
        <f>'Raw Data'!A322</f>
        <v>Wimbledon</v>
      </c>
      <c r="B322" s="4" t="str">
        <f>'Raw Data'!B322</f>
        <v>Jordan Thompson</v>
      </c>
      <c r="C322" s="4">
        <f>'Raw Data'!C322</f>
        <v>45</v>
      </c>
      <c r="D322" s="4">
        <f>'Raw Data'!D322</f>
        <v>0</v>
      </c>
      <c r="E322" s="4" t="str">
        <f>'Raw Data'!J322</f>
        <v>R64</v>
      </c>
      <c r="F322" s="4">
        <f>'Raw Data'!K322</f>
        <v>2</v>
      </c>
      <c r="G322" s="4" t="str">
        <f>'Raw Data'!E322</f>
        <v>R16</v>
      </c>
      <c r="H322" s="4">
        <f>'Raw Data'!F322</f>
        <v>4</v>
      </c>
      <c r="I322" s="18">
        <f>'Raw Data'!L322</f>
        <v>2</v>
      </c>
    </row>
    <row r="323" spans="1:9" x14ac:dyDescent="0.3">
      <c r="A323" s="17" t="str">
        <f>'Raw Data'!A323</f>
        <v>Wimbledon</v>
      </c>
      <c r="B323" s="4" t="str">
        <f>'Raw Data'!B323</f>
        <v>Camilo Ugo Carabelli</v>
      </c>
      <c r="C323" s="4">
        <f>'Raw Data'!C323</f>
        <v>55</v>
      </c>
      <c r="D323" s="4">
        <f>'Raw Data'!D323</f>
        <v>0</v>
      </c>
      <c r="E323" s="4" t="str">
        <f>'Raw Data'!J323</f>
        <v>R64</v>
      </c>
      <c r="F323" s="4">
        <f>'Raw Data'!K323</f>
        <v>2</v>
      </c>
      <c r="G323" s="4" t="str">
        <f>'Raw Data'!E323</f>
        <v>R128</v>
      </c>
      <c r="H323" s="4">
        <f>'Raw Data'!F323</f>
        <v>1</v>
      </c>
      <c r="I323" s="18">
        <f>'Raw Data'!L323</f>
        <v>-1</v>
      </c>
    </row>
    <row r="324" spans="1:9" x14ac:dyDescent="0.3">
      <c r="A324" s="17" t="str">
        <f>'Raw Data'!A324</f>
        <v>Wimbledon</v>
      </c>
      <c r="B324" s="4" t="str">
        <f>'Raw Data'!B324</f>
        <v>Mackenzie Mcdonald</v>
      </c>
      <c r="C324" s="4">
        <f>'Raw Data'!C324</f>
        <v>90</v>
      </c>
      <c r="D324" s="4">
        <f>'Raw Data'!D324</f>
        <v>0</v>
      </c>
      <c r="E324" s="4" t="str">
        <f>'Raw Data'!J324</f>
        <v>R128</v>
      </c>
      <c r="F324" s="4">
        <f>'Raw Data'!K324</f>
        <v>1</v>
      </c>
      <c r="G324" s="4" t="str">
        <f>'Raw Data'!E324</f>
        <v>R128</v>
      </c>
      <c r="H324" s="4">
        <f>'Raw Data'!F324</f>
        <v>1</v>
      </c>
      <c r="I324" s="18">
        <f>'Raw Data'!L324</f>
        <v>0</v>
      </c>
    </row>
    <row r="325" spans="1:9" x14ac:dyDescent="0.3">
      <c r="A325" s="17" t="str">
        <f>'Raw Data'!A325</f>
        <v>Wimbledon</v>
      </c>
      <c r="B325" s="4" t="str">
        <f>'Raw Data'!B325</f>
        <v>Jakub Mensik</v>
      </c>
      <c r="C325" s="4">
        <f>'Raw Data'!C325</f>
        <v>17</v>
      </c>
      <c r="D325" s="4">
        <f>'Raw Data'!D325</f>
        <v>15</v>
      </c>
      <c r="E325" s="4" t="str">
        <f>'Raw Data'!J325</f>
        <v>R32</v>
      </c>
      <c r="F325" s="4">
        <f>'Raw Data'!K325</f>
        <v>3</v>
      </c>
      <c r="G325" s="4" t="str">
        <f>'Raw Data'!E325</f>
        <v>R32</v>
      </c>
      <c r="H325" s="4">
        <f>'Raw Data'!F325</f>
        <v>3</v>
      </c>
      <c r="I325" s="18">
        <f>'Raw Data'!L325</f>
        <v>0</v>
      </c>
    </row>
    <row r="326" spans="1:9" x14ac:dyDescent="0.3">
      <c r="A326" s="17" t="str">
        <f>'Raw Data'!A326</f>
        <v>Wimbledon</v>
      </c>
      <c r="B326" s="4" t="str">
        <f>'Raw Data'!B326</f>
        <v>Hugo Gaston</v>
      </c>
      <c r="C326" s="4">
        <f>'Raw Data'!C326</f>
        <v>89</v>
      </c>
      <c r="D326" s="4">
        <f>'Raw Data'!D326</f>
        <v>0</v>
      </c>
      <c r="E326" s="4" t="str">
        <f>'Raw Data'!J326</f>
        <v>R128</v>
      </c>
      <c r="F326" s="4">
        <f>'Raw Data'!K326</f>
        <v>1</v>
      </c>
      <c r="G326" s="4" t="str">
        <f>'Raw Data'!E326</f>
        <v>R128</v>
      </c>
      <c r="H326" s="4">
        <f>'Raw Data'!F326</f>
        <v>1</v>
      </c>
      <c r="I326" s="18">
        <f>'Raw Data'!L326</f>
        <v>0</v>
      </c>
    </row>
    <row r="327" spans="1:9" x14ac:dyDescent="0.3">
      <c r="A327" s="17" t="str">
        <f>'Raw Data'!A327</f>
        <v>Wimbledon</v>
      </c>
      <c r="B327" s="4" t="str">
        <f>'Raw Data'!B327</f>
        <v>Quentin Halys</v>
      </c>
      <c r="C327" s="4">
        <f>'Raw Data'!C327</f>
        <v>47</v>
      </c>
      <c r="D327" s="4">
        <f>'Raw Data'!D327</f>
        <v>0</v>
      </c>
      <c r="E327" s="4" t="str">
        <f>'Raw Data'!J327</f>
        <v>R64</v>
      </c>
      <c r="F327" s="4">
        <f>'Raw Data'!K327</f>
        <v>2</v>
      </c>
      <c r="G327" s="4" t="str">
        <f>'Raw Data'!E327</f>
        <v>R128</v>
      </c>
      <c r="H327" s="4">
        <f>'Raw Data'!F327</f>
        <v>1</v>
      </c>
      <c r="I327" s="18">
        <f>'Raw Data'!L327</f>
        <v>-1</v>
      </c>
    </row>
    <row r="328" spans="1:9" x14ac:dyDescent="0.3">
      <c r="A328" s="17" t="str">
        <f>'Raw Data'!A328</f>
        <v>Wimbledon</v>
      </c>
      <c r="B328" s="4" t="str">
        <f>'Raw Data'!B328</f>
        <v>Alex De Minaur</v>
      </c>
      <c r="C328" s="4">
        <f>'Raw Data'!C328</f>
        <v>11</v>
      </c>
      <c r="D328" s="4">
        <f>'Raw Data'!D328</f>
        <v>11</v>
      </c>
      <c r="E328" s="4" t="str">
        <f>'Raw Data'!J328</f>
        <v>R16</v>
      </c>
      <c r="F328" s="4">
        <f>'Raw Data'!K328</f>
        <v>4</v>
      </c>
      <c r="G328" s="4" t="str">
        <f>'Raw Data'!E328</f>
        <v>R16</v>
      </c>
      <c r="H328" s="4">
        <f>'Raw Data'!F328</f>
        <v>4</v>
      </c>
      <c r="I328" s="18">
        <f>'Raw Data'!L328</f>
        <v>0</v>
      </c>
    </row>
    <row r="329" spans="1:9" x14ac:dyDescent="0.3">
      <c r="A329" s="17" t="str">
        <f>'Raw Data'!A329</f>
        <v>Wimbledon</v>
      </c>
      <c r="B329" s="4" t="str">
        <f>'Raw Data'!B329</f>
        <v>Laslo Djere</v>
      </c>
      <c r="C329" s="4">
        <f>'Raw Data'!C329</f>
        <v>62</v>
      </c>
      <c r="D329" s="4">
        <f>'Raw Data'!D329</f>
        <v>0</v>
      </c>
      <c r="E329" s="4" t="str">
        <f>'Raw Data'!J329</f>
        <v>R64</v>
      </c>
      <c r="F329" s="4">
        <f>'Raw Data'!K329</f>
        <v>2</v>
      </c>
      <c r="G329" s="4" t="str">
        <f>'Raw Data'!E329</f>
        <v>R128</v>
      </c>
      <c r="H329" s="4">
        <f>'Raw Data'!F329</f>
        <v>1</v>
      </c>
      <c r="I329" s="18">
        <f>'Raw Data'!L329</f>
        <v>-1</v>
      </c>
    </row>
    <row r="330" spans="1:9" x14ac:dyDescent="0.3">
      <c r="A330" s="17" t="str">
        <f>'Raw Data'!A330</f>
        <v>Wimbledon</v>
      </c>
      <c r="B330" s="4" t="str">
        <f>'Raw Data'!B330</f>
        <v>Arthur Cazaux</v>
      </c>
      <c r="C330" s="4">
        <f>'Raw Data'!C330</f>
        <v>116</v>
      </c>
      <c r="D330" s="4">
        <f>'Raw Data'!D330</f>
        <v>0</v>
      </c>
      <c r="E330" s="4" t="str">
        <f>'Raw Data'!J330</f>
        <v>R128</v>
      </c>
      <c r="F330" s="4">
        <f>'Raw Data'!K330</f>
        <v>1</v>
      </c>
      <c r="G330" s="4" t="str">
        <f>'Raw Data'!E330</f>
        <v>R64</v>
      </c>
      <c r="H330" s="4">
        <f>'Raw Data'!F330</f>
        <v>2</v>
      </c>
      <c r="I330" s="18">
        <f>'Raw Data'!L330</f>
        <v>1</v>
      </c>
    </row>
    <row r="331" spans="1:9" x14ac:dyDescent="0.3">
      <c r="A331" s="17" t="str">
        <f>'Raw Data'!A331</f>
        <v>Wimbledon</v>
      </c>
      <c r="B331" s="4" t="str">
        <f>'Raw Data'!B331</f>
        <v>Adam Walton</v>
      </c>
      <c r="C331" s="4">
        <f>'Raw Data'!C331</f>
        <v>86</v>
      </c>
      <c r="D331" s="4">
        <f>'Raw Data'!D331</f>
        <v>0</v>
      </c>
      <c r="E331" s="4" t="str">
        <f>'Raw Data'!J331</f>
        <v>R128</v>
      </c>
      <c r="F331" s="4">
        <f>'Raw Data'!K331</f>
        <v>1</v>
      </c>
      <c r="G331" s="4" t="str">
        <f>'Raw Data'!E331</f>
        <v>R128</v>
      </c>
      <c r="H331" s="4">
        <f>'Raw Data'!F331</f>
        <v>1</v>
      </c>
      <c r="I331" s="18">
        <f>'Raw Data'!L331</f>
        <v>0</v>
      </c>
    </row>
    <row r="332" spans="1:9" x14ac:dyDescent="0.3">
      <c r="A332" s="17" t="str">
        <f>'Raw Data'!A332</f>
        <v>Wimbledon</v>
      </c>
      <c r="B332" s="4" t="str">
        <f>'Raw Data'!B332</f>
        <v>Karen Khachanov</v>
      </c>
      <c r="C332" s="4">
        <f>'Raw Data'!C332</f>
        <v>19</v>
      </c>
      <c r="D332" s="4">
        <f>'Raw Data'!D332</f>
        <v>17</v>
      </c>
      <c r="E332" s="4" t="str">
        <f>'Raw Data'!J332</f>
        <v>R32</v>
      </c>
      <c r="F332" s="4">
        <f>'Raw Data'!K332</f>
        <v>3</v>
      </c>
      <c r="G332" s="4" t="str">
        <f>'Raw Data'!E332</f>
        <v>Quarter-final</v>
      </c>
      <c r="H332" s="4">
        <f>'Raw Data'!F332</f>
        <v>5</v>
      </c>
      <c r="I332" s="18">
        <f>'Raw Data'!L332</f>
        <v>2</v>
      </c>
    </row>
    <row r="333" spans="1:9" x14ac:dyDescent="0.3">
      <c r="A333" s="17" t="str">
        <f>'Raw Data'!A333</f>
        <v>Wimbledon</v>
      </c>
      <c r="B333" s="4" t="str">
        <f>'Raw Data'!B333</f>
        <v>August Holmgren</v>
      </c>
      <c r="C333" s="4">
        <f>'Raw Data'!C333</f>
        <v>195</v>
      </c>
      <c r="D333" s="4">
        <f>'Raw Data'!D333</f>
        <v>0</v>
      </c>
      <c r="E333" s="4" t="str">
        <f>'Raw Data'!J333</f>
        <v>R128</v>
      </c>
      <c r="F333" s="4">
        <f>'Raw Data'!K333</f>
        <v>1</v>
      </c>
      <c r="G333" s="4" t="str">
        <f>'Raw Data'!E333</f>
        <v>R32</v>
      </c>
      <c r="H333" s="4">
        <f>'Raw Data'!F333</f>
        <v>3</v>
      </c>
      <c r="I333" s="18">
        <f>'Raw Data'!L333</f>
        <v>2</v>
      </c>
    </row>
    <row r="334" spans="1:9" x14ac:dyDescent="0.3">
      <c r="A334" s="17" t="str">
        <f>'Raw Data'!A334</f>
        <v>Wimbledon</v>
      </c>
      <c r="B334" s="4" t="str">
        <f>'Raw Data'!B334</f>
        <v>Kamil Majchrzak</v>
      </c>
      <c r="C334" s="4">
        <f>'Raw Data'!C334</f>
        <v>108</v>
      </c>
      <c r="D334" s="4">
        <f>'Raw Data'!D334</f>
        <v>0</v>
      </c>
      <c r="E334" s="4" t="str">
        <f>'Raw Data'!J334</f>
        <v>R128</v>
      </c>
      <c r="F334" s="4">
        <f>'Raw Data'!K334</f>
        <v>1</v>
      </c>
      <c r="G334" s="4" t="str">
        <f>'Raw Data'!E334</f>
        <v>R16</v>
      </c>
      <c r="H334" s="4">
        <f>'Raw Data'!F334</f>
        <v>4</v>
      </c>
      <c r="I334" s="18">
        <f>'Raw Data'!L334</f>
        <v>3</v>
      </c>
    </row>
    <row r="335" spans="1:9" x14ac:dyDescent="0.3">
      <c r="A335" s="17" t="str">
        <f>'Raw Data'!A335</f>
        <v>Wimbledon</v>
      </c>
      <c r="B335" s="4" t="str">
        <f>'Raw Data'!B335</f>
        <v>Tomas Machac</v>
      </c>
      <c r="C335" s="4">
        <f>'Raw Data'!C335</f>
        <v>23</v>
      </c>
      <c r="D335" s="4">
        <f>'Raw Data'!D335</f>
        <v>21</v>
      </c>
      <c r="E335" s="4" t="str">
        <f>'Raw Data'!J335</f>
        <v>R32</v>
      </c>
      <c r="F335" s="4">
        <f>'Raw Data'!K335</f>
        <v>3</v>
      </c>
      <c r="G335" s="4" t="str">
        <f>'Raw Data'!E335</f>
        <v>R64</v>
      </c>
      <c r="H335" s="4">
        <f>'Raw Data'!F335</f>
        <v>2</v>
      </c>
      <c r="I335" s="18">
        <f>'Raw Data'!L335</f>
        <v>-1</v>
      </c>
    </row>
    <row r="336" spans="1:9" x14ac:dyDescent="0.3">
      <c r="A336" s="17" t="str">
        <f>'Raw Data'!A336</f>
        <v>Wimbledon</v>
      </c>
      <c r="B336" s="4" t="str">
        <f>'Raw Data'!B336</f>
        <v>Nicolas Jarry</v>
      </c>
      <c r="C336" s="4">
        <f>'Raw Data'!C336</f>
        <v>145</v>
      </c>
      <c r="D336" s="4">
        <f>'Raw Data'!D336</f>
        <v>0</v>
      </c>
      <c r="E336" s="4" t="str">
        <f>'Raw Data'!J336</f>
        <v>R128</v>
      </c>
      <c r="F336" s="4">
        <f>'Raw Data'!K336</f>
        <v>1</v>
      </c>
      <c r="G336" s="4" t="str">
        <f>'Raw Data'!E336</f>
        <v>R16</v>
      </c>
      <c r="H336" s="4">
        <f>'Raw Data'!F336</f>
        <v>4</v>
      </c>
      <c r="I336" s="18">
        <f>'Raw Data'!L336</f>
        <v>3</v>
      </c>
    </row>
    <row r="337" spans="1:9" x14ac:dyDescent="0.3">
      <c r="A337" s="17" t="str">
        <f>'Raw Data'!A337</f>
        <v>Wimbledon</v>
      </c>
      <c r="B337" s="4" t="str">
        <f>'Raw Data'!B337</f>
        <v>Miomir Kecmanovic</v>
      </c>
      <c r="C337" s="4">
        <f>'Raw Data'!C337</f>
        <v>49</v>
      </c>
      <c r="D337" s="4">
        <f>'Raw Data'!D337</f>
        <v>0</v>
      </c>
      <c r="E337" s="4" t="str">
        <f>'Raw Data'!J337</f>
        <v>R64</v>
      </c>
      <c r="F337" s="4">
        <f>'Raw Data'!K337</f>
        <v>2</v>
      </c>
      <c r="G337" s="4" t="str">
        <f>'Raw Data'!E337</f>
        <v>R32</v>
      </c>
      <c r="H337" s="4">
        <f>'Raw Data'!F337</f>
        <v>3</v>
      </c>
      <c r="I337" s="18">
        <f>'Raw Data'!L337</f>
        <v>1</v>
      </c>
    </row>
    <row r="338" spans="1:9" x14ac:dyDescent="0.3">
      <c r="A338" s="17" t="str">
        <f>'Raw Data'!A338</f>
        <v>Wimbledon</v>
      </c>
      <c r="B338" s="4" t="str">
        <f>'Raw Data'!B338</f>
        <v>Cameron Norrie</v>
      </c>
      <c r="C338" s="4">
        <f>'Raw Data'!C338</f>
        <v>61</v>
      </c>
      <c r="D338" s="4">
        <f>'Raw Data'!D338</f>
        <v>0</v>
      </c>
      <c r="E338" s="4" t="str">
        <f>'Raw Data'!J338</f>
        <v>R64</v>
      </c>
      <c r="F338" s="4">
        <f>'Raw Data'!K338</f>
        <v>2</v>
      </c>
      <c r="G338" s="4" t="str">
        <f>'Raw Data'!E338</f>
        <v>Quarter-final</v>
      </c>
      <c r="H338" s="4">
        <f>'Raw Data'!F338</f>
        <v>5</v>
      </c>
      <c r="I338" s="18">
        <f>'Raw Data'!L338</f>
        <v>3</v>
      </c>
    </row>
    <row r="339" spans="1:9" x14ac:dyDescent="0.3">
      <c r="A339" s="17" t="str">
        <f>'Raw Data'!A339</f>
        <v>Wimbledon</v>
      </c>
      <c r="B339" s="4" t="str">
        <f>'Raw Data'!B339</f>
        <v>Alex Michelsen</v>
      </c>
      <c r="C339" s="4">
        <f>'Raw Data'!C339</f>
        <v>33</v>
      </c>
      <c r="D339" s="4">
        <f>'Raw Data'!D339</f>
        <v>30</v>
      </c>
      <c r="E339" s="4" t="str">
        <f>'Raw Data'!J339</f>
        <v>R64</v>
      </c>
      <c r="F339" s="4">
        <f>'Raw Data'!K339</f>
        <v>2</v>
      </c>
      <c r="G339" s="4" t="str">
        <f>'Raw Data'!E339</f>
        <v>R128</v>
      </c>
      <c r="H339" s="4">
        <f>'Raw Data'!F339</f>
        <v>1</v>
      </c>
      <c r="I339" s="18">
        <f>'Raw Data'!L339</f>
        <v>-1</v>
      </c>
    </row>
    <row r="340" spans="1:9" x14ac:dyDescent="0.3">
      <c r="A340" s="17" t="str">
        <f>'Raw Data'!A340</f>
        <v>Wimbledon</v>
      </c>
      <c r="B340" s="4" t="str">
        <f>'Raw Data'!B340</f>
        <v>Jesper De Jong</v>
      </c>
      <c r="C340" s="4">
        <f>'Raw Data'!C340</f>
        <v>104</v>
      </c>
      <c r="D340" s="4">
        <f>'Raw Data'!D340</f>
        <v>0</v>
      </c>
      <c r="E340" s="4" t="str">
        <f>'Raw Data'!J340</f>
        <v>R128</v>
      </c>
      <c r="F340" s="4">
        <f>'Raw Data'!K340</f>
        <v>1</v>
      </c>
      <c r="G340" s="4" t="str">
        <f>'Raw Data'!E340</f>
        <v>R64</v>
      </c>
      <c r="H340" s="4">
        <f>'Raw Data'!F340</f>
        <v>2</v>
      </c>
      <c r="I340" s="18">
        <f>'Raw Data'!L340</f>
        <v>1</v>
      </c>
    </row>
    <row r="341" spans="1:9" x14ac:dyDescent="0.3">
      <c r="A341" s="17" t="str">
        <f>'Raw Data'!A341</f>
        <v>Wimbledon</v>
      </c>
      <c r="B341" s="4" t="str">
        <f>'Raw Data'!B341</f>
        <v>Botic Van De Zandschulp</v>
      </c>
      <c r="C341" s="4">
        <f>'Raw Data'!C341</f>
        <v>92</v>
      </c>
      <c r="D341" s="4">
        <f>'Raw Data'!D341</f>
        <v>0</v>
      </c>
      <c r="E341" s="4" t="str">
        <f>'Raw Data'!J341</f>
        <v>R128</v>
      </c>
      <c r="F341" s="4">
        <f>'Raw Data'!K341</f>
        <v>1</v>
      </c>
      <c r="G341" s="4" t="str">
        <f>'Raw Data'!E341</f>
        <v>R64</v>
      </c>
      <c r="H341" s="4">
        <f>'Raw Data'!F341</f>
        <v>2</v>
      </c>
      <c r="I341" s="18">
        <f>'Raw Data'!L341</f>
        <v>1</v>
      </c>
    </row>
    <row r="342" spans="1:9" x14ac:dyDescent="0.3">
      <c r="A342" s="17" t="str">
        <f>'Raw Data'!A342</f>
        <v>Wimbledon</v>
      </c>
      <c r="B342" s="4" t="str">
        <f>'Raw Data'!B342</f>
        <v>Jay Clarke</v>
      </c>
      <c r="C342" s="4">
        <f>'Raw Data'!C342</f>
        <v>199</v>
      </c>
      <c r="D342" s="4">
        <f>'Raw Data'!D342</f>
        <v>0</v>
      </c>
      <c r="E342" s="4" t="str">
        <f>'Raw Data'!J342</f>
        <v>R128</v>
      </c>
      <c r="F342" s="4">
        <f>'Raw Data'!K342</f>
        <v>1</v>
      </c>
      <c r="G342" s="4" t="str">
        <f>'Raw Data'!E342</f>
        <v>R128</v>
      </c>
      <c r="H342" s="4">
        <f>'Raw Data'!F342</f>
        <v>1</v>
      </c>
      <c r="I342" s="18">
        <f>'Raw Data'!L342</f>
        <v>0</v>
      </c>
    </row>
    <row r="343" spans="1:9" x14ac:dyDescent="0.3">
      <c r="A343" s="17" t="str">
        <f>'Raw Data'!A343</f>
        <v>Wimbledon</v>
      </c>
      <c r="B343" s="4" t="str">
        <f>'Raw Data'!B343</f>
        <v>Alexandre Muller</v>
      </c>
      <c r="C343" s="4">
        <f>'Raw Data'!C343</f>
        <v>40</v>
      </c>
      <c r="D343" s="4">
        <f>'Raw Data'!D343</f>
        <v>0</v>
      </c>
      <c r="E343" s="4" t="str">
        <f>'Raw Data'!J343</f>
        <v>R64</v>
      </c>
      <c r="F343" s="4">
        <f>'Raw Data'!K343</f>
        <v>2</v>
      </c>
      <c r="G343" s="4" t="str">
        <f>'Raw Data'!E343</f>
        <v>R128</v>
      </c>
      <c r="H343" s="4">
        <f>'Raw Data'!F343</f>
        <v>1</v>
      </c>
      <c r="I343" s="18">
        <f>'Raw Data'!L343</f>
        <v>-1</v>
      </c>
    </row>
    <row r="344" spans="1:9" x14ac:dyDescent="0.3">
      <c r="A344" s="17" t="str">
        <f>'Raw Data'!A344</f>
        <v>Wimbledon</v>
      </c>
      <c r="B344" s="4" t="str">
        <f>'Raw Data'!B344</f>
        <v>Taylor Fritz</v>
      </c>
      <c r="C344" s="4">
        <f>'Raw Data'!C344</f>
        <v>5</v>
      </c>
      <c r="D344" s="4">
        <f>'Raw Data'!D344</f>
        <v>5</v>
      </c>
      <c r="E344" s="4" t="str">
        <f>'Raw Data'!J344</f>
        <v>Quarter-final</v>
      </c>
      <c r="F344" s="4">
        <f>'Raw Data'!K344</f>
        <v>5</v>
      </c>
      <c r="G344" s="4" t="str">
        <f>'Raw Data'!E344</f>
        <v>Semi-final</v>
      </c>
      <c r="H344" s="4">
        <f>'Raw Data'!F344</f>
        <v>6</v>
      </c>
      <c r="I344" s="18">
        <f>'Raw Data'!L344</f>
        <v>1</v>
      </c>
    </row>
    <row r="345" spans="1:9" x14ac:dyDescent="0.3">
      <c r="A345" s="17" t="str">
        <f>'Raw Data'!A345</f>
        <v>Wimbledon</v>
      </c>
      <c r="B345" s="4" t="str">
        <f>'Raw Data'!B345</f>
        <v>Giovanni Mpetshi Perricard</v>
      </c>
      <c r="C345" s="4">
        <f>'Raw Data'!C345</f>
        <v>36</v>
      </c>
      <c r="D345" s="4">
        <f>'Raw Data'!D345</f>
        <v>0</v>
      </c>
      <c r="E345" s="4" t="str">
        <f>'Raw Data'!J345</f>
        <v>R64</v>
      </c>
      <c r="F345" s="4">
        <f>'Raw Data'!K345</f>
        <v>2</v>
      </c>
      <c r="G345" s="4" t="str">
        <f>'Raw Data'!E345</f>
        <v>R128</v>
      </c>
      <c r="H345" s="4">
        <f>'Raw Data'!F345</f>
        <v>1</v>
      </c>
      <c r="I345" s="18">
        <f>'Raw Data'!L345</f>
        <v>-1</v>
      </c>
    </row>
    <row r="346" spans="1:9" x14ac:dyDescent="0.3">
      <c r="A346" s="17" t="str">
        <f>'Raw Data'!A346</f>
        <v>Wimbledon</v>
      </c>
      <c r="B346" s="4" t="str">
        <f>'Raw Data'!B346</f>
        <v>Gabriel Diallo</v>
      </c>
      <c r="C346" s="4">
        <f>'Raw Data'!C346</f>
        <v>41</v>
      </c>
      <c r="D346" s="4">
        <f>'Raw Data'!D346</f>
        <v>0</v>
      </c>
      <c r="E346" s="4" t="str">
        <f>'Raw Data'!J346</f>
        <v>R64</v>
      </c>
      <c r="F346" s="4">
        <f>'Raw Data'!K346</f>
        <v>2</v>
      </c>
      <c r="G346" s="4" t="str">
        <f>'Raw Data'!E346</f>
        <v>R64</v>
      </c>
      <c r="H346" s="4">
        <f>'Raw Data'!F346</f>
        <v>2</v>
      </c>
      <c r="I346" s="18">
        <f>'Raw Data'!L346</f>
        <v>0</v>
      </c>
    </row>
    <row r="347" spans="1:9" x14ac:dyDescent="0.3">
      <c r="A347" s="17" t="str">
        <f>'Raw Data'!A347</f>
        <v>Wimbledon</v>
      </c>
      <c r="B347" s="4" t="str">
        <f>'Raw Data'!B347</f>
        <v>Andrey Rublev</v>
      </c>
      <c r="C347" s="4">
        <f>'Raw Data'!C347</f>
        <v>14</v>
      </c>
      <c r="D347" s="4">
        <f>'Raw Data'!D347</f>
        <v>14</v>
      </c>
      <c r="E347" s="4" t="str">
        <f>'Raw Data'!J347</f>
        <v>R16</v>
      </c>
      <c r="F347" s="4">
        <f>'Raw Data'!K347</f>
        <v>4</v>
      </c>
      <c r="G347" s="4" t="str">
        <f>'Raw Data'!E347</f>
        <v>R16</v>
      </c>
      <c r="H347" s="4">
        <f>'Raw Data'!F347</f>
        <v>4</v>
      </c>
      <c r="I347" s="18">
        <f>'Raw Data'!L347</f>
        <v>0</v>
      </c>
    </row>
    <row r="348" spans="1:9" x14ac:dyDescent="0.3">
      <c r="A348" s="17" t="str">
        <f>'Raw Data'!A348</f>
        <v>Wimbledon</v>
      </c>
      <c r="B348" s="4" t="str">
        <f>'Raw Data'!B348</f>
        <v>Daniel Altmaier</v>
      </c>
      <c r="C348" s="4">
        <f>'Raw Data'!C348</f>
        <v>59</v>
      </c>
      <c r="D348" s="4">
        <f>'Raw Data'!D348</f>
        <v>0</v>
      </c>
      <c r="E348" s="4" t="str">
        <f>'Raw Data'!J348</f>
        <v>R64</v>
      </c>
      <c r="F348" s="4">
        <f>'Raw Data'!K348</f>
        <v>2</v>
      </c>
      <c r="G348" s="4" t="str">
        <f>'Raw Data'!E348</f>
        <v>R128</v>
      </c>
      <c r="H348" s="4">
        <f>'Raw Data'!F348</f>
        <v>1</v>
      </c>
      <c r="I348" s="18">
        <f>'Raw Data'!L348</f>
        <v>-1</v>
      </c>
    </row>
    <row r="349" spans="1:9" x14ac:dyDescent="0.3">
      <c r="A349" s="17" t="str">
        <f>'Raw Data'!A349</f>
        <v>Wimbledon</v>
      </c>
      <c r="B349" s="4" t="str">
        <f>'Raw Data'!B349</f>
        <v>Benjamin Bonzi</v>
      </c>
      <c r="C349" s="4">
        <f>'Raw Data'!C349</f>
        <v>64</v>
      </c>
      <c r="D349" s="4">
        <f>'Raw Data'!D349</f>
        <v>0</v>
      </c>
      <c r="E349" s="4" t="str">
        <f>'Raw Data'!J349</f>
        <v>R64</v>
      </c>
      <c r="F349" s="4">
        <f>'Raw Data'!K349</f>
        <v>2</v>
      </c>
      <c r="G349" s="4" t="str">
        <f>'Raw Data'!E349</f>
        <v>R64</v>
      </c>
      <c r="H349" s="4">
        <f>'Raw Data'!F349</f>
        <v>2</v>
      </c>
      <c r="I349" s="18">
        <f>'Raw Data'!L349</f>
        <v>0</v>
      </c>
    </row>
    <row r="350" spans="1:9" x14ac:dyDescent="0.3">
      <c r="A350" s="17" t="str">
        <f>'Raw Data'!A350</f>
        <v>Wimbledon</v>
      </c>
      <c r="B350" s="4" t="str">
        <f>'Raw Data'!B350</f>
        <v>Matteo Arnaldi</v>
      </c>
      <c r="C350" s="4">
        <f>'Raw Data'!C350</f>
        <v>44</v>
      </c>
      <c r="D350" s="4">
        <f>'Raw Data'!D350</f>
        <v>0</v>
      </c>
      <c r="E350" s="4" t="str">
        <f>'Raw Data'!J350</f>
        <v>R64</v>
      </c>
      <c r="F350" s="4">
        <f>'Raw Data'!K350</f>
        <v>2</v>
      </c>
      <c r="G350" s="4" t="str">
        <f>'Raw Data'!E350</f>
        <v>R128</v>
      </c>
      <c r="H350" s="4">
        <f>'Raw Data'!F350</f>
        <v>1</v>
      </c>
      <c r="I350" s="18">
        <f>'Raw Data'!L350</f>
        <v>-1</v>
      </c>
    </row>
    <row r="351" spans="1:9" x14ac:dyDescent="0.3">
      <c r="A351" s="17" t="str">
        <f>'Raw Data'!A351</f>
        <v>Wimbledon</v>
      </c>
      <c r="B351" s="4" t="str">
        <f>'Raw Data'!B351</f>
        <v>Roman Safiullin</v>
      </c>
      <c r="C351" s="4">
        <f>'Raw Data'!C351</f>
        <v>75</v>
      </c>
      <c r="D351" s="4">
        <f>'Raw Data'!D351</f>
        <v>0</v>
      </c>
      <c r="E351" s="4" t="str">
        <f>'Raw Data'!J351</f>
        <v>R128</v>
      </c>
      <c r="F351" s="4">
        <f>'Raw Data'!K351</f>
        <v>1</v>
      </c>
      <c r="G351" s="4" t="str">
        <f>'Raw Data'!E351</f>
        <v>R128</v>
      </c>
      <c r="H351" s="4">
        <f>'Raw Data'!F351</f>
        <v>1</v>
      </c>
      <c r="I351" s="18">
        <f>'Raw Data'!L351</f>
        <v>0</v>
      </c>
    </row>
    <row r="352" spans="1:9" x14ac:dyDescent="0.3">
      <c r="A352" s="17" t="str">
        <f>'Raw Data'!A352</f>
        <v>Wimbledon</v>
      </c>
      <c r="B352" s="4" t="str">
        <f>'Raw Data'!B352</f>
        <v>Alejandro Davidovich Fokina</v>
      </c>
      <c r="C352" s="4">
        <f>'Raw Data'!C352</f>
        <v>28</v>
      </c>
      <c r="D352" s="4">
        <f>'Raw Data'!D352</f>
        <v>26</v>
      </c>
      <c r="E352" s="4" t="str">
        <f>'Raw Data'!J352</f>
        <v>R32</v>
      </c>
      <c r="F352" s="4">
        <f>'Raw Data'!K352</f>
        <v>3</v>
      </c>
      <c r="G352" s="4" t="str">
        <f>'Raw Data'!E352</f>
        <v>R32</v>
      </c>
      <c r="H352" s="4">
        <f>'Raw Data'!F352</f>
        <v>3</v>
      </c>
      <c r="I352" s="18">
        <f>'Raw Data'!L352</f>
        <v>0</v>
      </c>
    </row>
    <row r="353" spans="1:9" x14ac:dyDescent="0.3">
      <c r="A353" s="17" t="str">
        <f>'Raw Data'!A353</f>
        <v>Wimbledon</v>
      </c>
      <c r="B353" s="4" t="str">
        <f>'Raw Data'!B353</f>
        <v>Brandon Holt</v>
      </c>
      <c r="C353" s="4">
        <f>'Raw Data'!C353</f>
        <v>101</v>
      </c>
      <c r="D353" s="4">
        <f>'Raw Data'!D353</f>
        <v>0</v>
      </c>
      <c r="E353" s="4" t="str">
        <f>'Raw Data'!J353</f>
        <v>R128</v>
      </c>
      <c r="F353" s="4">
        <f>'Raw Data'!K353</f>
        <v>1</v>
      </c>
      <c r="G353" s="4" t="str">
        <f>'Raw Data'!E353</f>
        <v>R128</v>
      </c>
      <c r="H353" s="4">
        <f>'Raw Data'!F353</f>
        <v>1</v>
      </c>
      <c r="I353" s="18">
        <f>'Raw Data'!L353</f>
        <v>0</v>
      </c>
    </row>
    <row r="354" spans="1:9" x14ac:dyDescent="0.3">
      <c r="A354" s="17" t="str">
        <f>'Raw Data'!A354</f>
        <v>Wimbledon</v>
      </c>
      <c r="B354" s="4" t="str">
        <f>'Raw Data'!B354</f>
        <v>Billy Harris</v>
      </c>
      <c r="C354" s="4">
        <f>'Raw Data'!C354</f>
        <v>142</v>
      </c>
      <c r="D354" s="4">
        <f>'Raw Data'!D354</f>
        <v>0</v>
      </c>
      <c r="E354" s="4" t="str">
        <f>'Raw Data'!J354</f>
        <v>R128</v>
      </c>
      <c r="F354" s="4">
        <f>'Raw Data'!K354</f>
        <v>1</v>
      </c>
      <c r="G354" s="4" t="str">
        <f>'Raw Data'!E354</f>
        <v>R64</v>
      </c>
      <c r="H354" s="4">
        <f>'Raw Data'!F354</f>
        <v>2</v>
      </c>
      <c r="I354" s="18">
        <f>'Raw Data'!L354</f>
        <v>1</v>
      </c>
    </row>
    <row r="355" spans="1:9" x14ac:dyDescent="0.3">
      <c r="A355" s="17" t="str">
        <f>'Raw Data'!A355</f>
        <v>Wimbledon</v>
      </c>
      <c r="B355" s="4" t="str">
        <f>'Raw Data'!B355</f>
        <v>Arthur Fery</v>
      </c>
      <c r="C355" s="4">
        <f>'Raw Data'!C355</f>
        <v>465</v>
      </c>
      <c r="D355" s="4">
        <f>'Raw Data'!D355</f>
        <v>0</v>
      </c>
      <c r="E355" s="4" t="str">
        <f>'Raw Data'!J355</f>
        <v>R128</v>
      </c>
      <c r="F355" s="4">
        <f>'Raw Data'!K355</f>
        <v>1</v>
      </c>
      <c r="G355" s="4" t="str">
        <f>'Raw Data'!E355</f>
        <v>R64</v>
      </c>
      <c r="H355" s="4">
        <f>'Raw Data'!F355</f>
        <v>2</v>
      </c>
      <c r="I355" s="18">
        <f>'Raw Data'!L355</f>
        <v>1</v>
      </c>
    </row>
    <row r="356" spans="1:9" x14ac:dyDescent="0.3">
      <c r="A356" s="17" t="str">
        <f>'Raw Data'!A356</f>
        <v>Wimbledon</v>
      </c>
      <c r="B356" s="4" t="str">
        <f>'Raw Data'!B356</f>
        <v>Alexei Popyrin</v>
      </c>
      <c r="C356" s="4">
        <f>'Raw Data'!C356</f>
        <v>22</v>
      </c>
      <c r="D356" s="4">
        <f>'Raw Data'!D356</f>
        <v>20</v>
      </c>
      <c r="E356" s="4" t="str">
        <f>'Raw Data'!J356</f>
        <v>R32</v>
      </c>
      <c r="F356" s="4">
        <f>'Raw Data'!K356</f>
        <v>3</v>
      </c>
      <c r="G356" s="4" t="str">
        <f>'Raw Data'!E356</f>
        <v>R128</v>
      </c>
      <c r="H356" s="4">
        <f>'Raw Data'!F356</f>
        <v>1</v>
      </c>
      <c r="I356" s="18">
        <f>'Raw Data'!L356</f>
        <v>-2</v>
      </c>
    </row>
    <row r="357" spans="1:9" x14ac:dyDescent="0.3">
      <c r="A357" s="17" t="str">
        <f>'Raw Data'!A357</f>
        <v>Wimbledon</v>
      </c>
      <c r="B357" s="4" t="str">
        <f>'Raw Data'!B357</f>
        <v>Luciano Darderi</v>
      </c>
      <c r="C357" s="4">
        <f>'Raw Data'!C357</f>
        <v>56</v>
      </c>
      <c r="D357" s="4">
        <f>'Raw Data'!D357</f>
        <v>0</v>
      </c>
      <c r="E357" s="4" t="str">
        <f>'Raw Data'!J357</f>
        <v>R64</v>
      </c>
      <c r="F357" s="4">
        <f>'Raw Data'!K357</f>
        <v>2</v>
      </c>
      <c r="G357" s="4" t="str">
        <f>'Raw Data'!E357</f>
        <v>R32</v>
      </c>
      <c r="H357" s="4">
        <f>'Raw Data'!F357</f>
        <v>3</v>
      </c>
      <c r="I357" s="18">
        <f>'Raw Data'!L357</f>
        <v>1</v>
      </c>
    </row>
    <row r="358" spans="1:9" x14ac:dyDescent="0.3">
      <c r="A358" s="17" t="str">
        <f>'Raw Data'!A358</f>
        <v>Wimbledon</v>
      </c>
      <c r="B358" s="4" t="str">
        <f>'Raw Data'!B358</f>
        <v>Frances Tiafoe</v>
      </c>
      <c r="C358" s="4">
        <f>'Raw Data'!C358</f>
        <v>12</v>
      </c>
      <c r="D358" s="4">
        <f>'Raw Data'!D358</f>
        <v>12</v>
      </c>
      <c r="E358" s="4" t="str">
        <f>'Raw Data'!J358</f>
        <v>R16</v>
      </c>
      <c r="F358" s="4">
        <f>'Raw Data'!K358</f>
        <v>4</v>
      </c>
      <c r="G358" s="4" t="str">
        <f>'Raw Data'!E358</f>
        <v>R64</v>
      </c>
      <c r="H358" s="4">
        <f>'Raw Data'!F358</f>
        <v>2</v>
      </c>
      <c r="I358" s="18">
        <f>'Raw Data'!L358</f>
        <v>-2</v>
      </c>
    </row>
    <row r="359" spans="1:9" x14ac:dyDescent="0.3">
      <c r="A359" s="17" t="str">
        <f>'Raw Data'!A359</f>
        <v>Wimbledon</v>
      </c>
      <c r="B359" s="4" t="str">
        <f>'Raw Data'!B359</f>
        <v>Vit Kopriva</v>
      </c>
      <c r="C359" s="4">
        <f>'Raw Data'!C359</f>
        <v>82</v>
      </c>
      <c r="D359" s="4">
        <f>'Raw Data'!D359</f>
        <v>0</v>
      </c>
      <c r="E359" s="4" t="str">
        <f>'Raw Data'!J359</f>
        <v>R128</v>
      </c>
      <c r="F359" s="4">
        <f>'Raw Data'!K359</f>
        <v>1</v>
      </c>
      <c r="G359" s="4" t="str">
        <f>'Raw Data'!E359</f>
        <v>R128</v>
      </c>
      <c r="H359" s="4">
        <f>'Raw Data'!F359</f>
        <v>1</v>
      </c>
      <c r="I359" s="18">
        <f>'Raw Data'!L359</f>
        <v>0</v>
      </c>
    </row>
    <row r="360" spans="1:9" x14ac:dyDescent="0.3">
      <c r="A360" s="17" t="str">
        <f>'Raw Data'!A360</f>
        <v>Wimbledon</v>
      </c>
      <c r="B360" s="4" t="str">
        <f>'Raw Data'!B360</f>
        <v>Arthur Rinderknech</v>
      </c>
      <c r="C360" s="4">
        <f>'Raw Data'!C360</f>
        <v>70</v>
      </c>
      <c r="D360" s="4">
        <f>'Raw Data'!D360</f>
        <v>0</v>
      </c>
      <c r="E360" s="4" t="str">
        <f>'Raw Data'!J360</f>
        <v>R128</v>
      </c>
      <c r="F360" s="4">
        <f>'Raw Data'!K360</f>
        <v>1</v>
      </c>
      <c r="G360" s="4" t="str">
        <f>'Raw Data'!E360</f>
        <v>R32</v>
      </c>
      <c r="H360" s="4">
        <f>'Raw Data'!F360</f>
        <v>3</v>
      </c>
      <c r="I360" s="18">
        <f>'Raw Data'!L360</f>
        <v>2</v>
      </c>
    </row>
    <row r="361" spans="1:9" x14ac:dyDescent="0.3">
      <c r="A361" s="17" t="str">
        <f>'Raw Data'!A361</f>
        <v>Wimbledon</v>
      </c>
      <c r="B361" s="4" t="str">
        <f>'Raw Data'!B361</f>
        <v>Matteo Berrettini</v>
      </c>
      <c r="C361" s="4">
        <f>'Raw Data'!C361</f>
        <v>35</v>
      </c>
      <c r="D361" s="4">
        <f>'Raw Data'!D361</f>
        <v>32</v>
      </c>
      <c r="E361" s="4" t="str">
        <f>'Raw Data'!J361</f>
        <v>R64</v>
      </c>
      <c r="F361" s="4">
        <f>'Raw Data'!K361</f>
        <v>2</v>
      </c>
      <c r="G361" s="4" t="str">
        <f>'Raw Data'!E361</f>
        <v>R128</v>
      </c>
      <c r="H361" s="4">
        <f>'Raw Data'!F361</f>
        <v>1</v>
      </c>
      <c r="I361" s="18">
        <f>'Raw Data'!L361</f>
        <v>-1</v>
      </c>
    </row>
    <row r="362" spans="1:9" x14ac:dyDescent="0.3">
      <c r="A362" s="17" t="str">
        <f>'Raw Data'!A362</f>
        <v>Wimbledon</v>
      </c>
      <c r="B362" s="4" t="str">
        <f>'Raw Data'!B362</f>
        <v>Nuno Borges</v>
      </c>
      <c r="C362" s="4">
        <f>'Raw Data'!C362</f>
        <v>37</v>
      </c>
      <c r="D362" s="4">
        <f>'Raw Data'!D362</f>
        <v>0</v>
      </c>
      <c r="E362" s="4" t="str">
        <f>'Raw Data'!J362</f>
        <v>R64</v>
      </c>
      <c r="F362" s="4">
        <f>'Raw Data'!K362</f>
        <v>2</v>
      </c>
      <c r="G362" s="4" t="str">
        <f>'Raw Data'!E362</f>
        <v>R32</v>
      </c>
      <c r="H362" s="4">
        <f>'Raw Data'!F362</f>
        <v>3</v>
      </c>
      <c r="I362" s="18">
        <f>'Raw Data'!L362</f>
        <v>1</v>
      </c>
    </row>
    <row r="363" spans="1:9" x14ac:dyDescent="0.3">
      <c r="A363" s="17" t="str">
        <f>'Raw Data'!A363</f>
        <v>Wimbledon</v>
      </c>
      <c r="B363" s="4" t="str">
        <f>'Raw Data'!B363</f>
        <v>Francisco Cerundolo</v>
      </c>
      <c r="C363" s="4">
        <f>'Raw Data'!C363</f>
        <v>18</v>
      </c>
      <c r="D363" s="4">
        <f>'Raw Data'!D363</f>
        <v>16</v>
      </c>
      <c r="E363" s="4" t="str">
        <f>'Raw Data'!J363</f>
        <v>R32</v>
      </c>
      <c r="F363" s="4">
        <f>'Raw Data'!K363</f>
        <v>3</v>
      </c>
      <c r="G363" s="4" t="str">
        <f>'Raw Data'!E363</f>
        <v>R128</v>
      </c>
      <c r="H363" s="4">
        <f>'Raw Data'!F363</f>
        <v>1</v>
      </c>
      <c r="I363" s="18">
        <f>'Raw Data'!L363</f>
        <v>-2</v>
      </c>
    </row>
    <row r="364" spans="1:9" x14ac:dyDescent="0.3">
      <c r="A364" s="17" t="str">
        <f>'Raw Data'!A364</f>
        <v>Wimbledon</v>
      </c>
      <c r="B364" s="4" t="str">
        <f>'Raw Data'!B364</f>
        <v>Stefanos Tsitsipas</v>
      </c>
      <c r="C364" s="4">
        <f>'Raw Data'!C364</f>
        <v>26</v>
      </c>
      <c r="D364" s="4">
        <f>'Raw Data'!D364</f>
        <v>24</v>
      </c>
      <c r="E364" s="4" t="str">
        <f>'Raw Data'!J364</f>
        <v>R32</v>
      </c>
      <c r="F364" s="4">
        <f>'Raw Data'!K364</f>
        <v>3</v>
      </c>
      <c r="G364" s="4" t="str">
        <f>'Raw Data'!E364</f>
        <v>R128</v>
      </c>
      <c r="H364" s="4">
        <f>'Raw Data'!F364</f>
        <v>1</v>
      </c>
      <c r="I364" s="18">
        <f>'Raw Data'!L364</f>
        <v>-2</v>
      </c>
    </row>
    <row r="365" spans="1:9" x14ac:dyDescent="0.3">
      <c r="A365" s="17" t="str">
        <f>'Raw Data'!A365</f>
        <v>Wimbledon</v>
      </c>
      <c r="B365" s="4" t="str">
        <f>'Raw Data'!B365</f>
        <v>Shintaro Mochizuki</v>
      </c>
      <c r="C365" s="4">
        <f>'Raw Data'!C365</f>
        <v>146</v>
      </c>
      <c r="D365" s="4">
        <f>'Raw Data'!D365</f>
        <v>0</v>
      </c>
      <c r="E365" s="4" t="str">
        <f>'Raw Data'!J365</f>
        <v>R128</v>
      </c>
      <c r="F365" s="4">
        <f>'Raw Data'!K365</f>
        <v>1</v>
      </c>
      <c r="G365" s="4" t="str">
        <f>'Raw Data'!E365</f>
        <v>R64</v>
      </c>
      <c r="H365" s="4">
        <f>'Raw Data'!F365</f>
        <v>2</v>
      </c>
      <c r="I365" s="18">
        <f>'Raw Data'!L365</f>
        <v>1</v>
      </c>
    </row>
    <row r="366" spans="1:9" x14ac:dyDescent="0.3">
      <c r="A366" s="17" t="str">
        <f>'Raw Data'!A366</f>
        <v>Wimbledon</v>
      </c>
      <c r="B366" s="4" t="str">
        <f>'Raw Data'!B366</f>
        <v>Giulio Zeppieri</v>
      </c>
      <c r="C366" s="4">
        <f>'Raw Data'!C366</f>
        <v>353</v>
      </c>
      <c r="D366" s="4">
        <f>'Raw Data'!D366</f>
        <v>0</v>
      </c>
      <c r="E366" s="4" t="str">
        <f>'Raw Data'!J366</f>
        <v>R128</v>
      </c>
      <c r="F366" s="4">
        <f>'Raw Data'!K366</f>
        <v>1</v>
      </c>
      <c r="G366" s="4" t="str">
        <f>'Raw Data'!E366</f>
        <v>R128</v>
      </c>
      <c r="H366" s="4">
        <f>'Raw Data'!F366</f>
        <v>1</v>
      </c>
      <c r="I366" s="18">
        <f>'Raw Data'!L366</f>
        <v>0</v>
      </c>
    </row>
    <row r="367" spans="1:9" x14ac:dyDescent="0.3">
      <c r="A367" s="17" t="str">
        <f>'Raw Data'!A367</f>
        <v>Wimbledon</v>
      </c>
      <c r="B367" s="4" t="str">
        <f>'Raw Data'!B367</f>
        <v>Ethan Quinn</v>
      </c>
      <c r="C367" s="4">
        <f>'Raw Data'!C367</f>
        <v>95</v>
      </c>
      <c r="D367" s="4">
        <f>'Raw Data'!D367</f>
        <v>0</v>
      </c>
      <c r="E367" s="4" t="str">
        <f>'Raw Data'!J367</f>
        <v>R128</v>
      </c>
      <c r="F367" s="4">
        <f>'Raw Data'!K367</f>
        <v>1</v>
      </c>
      <c r="G367" s="4" t="str">
        <f>'Raw Data'!E367</f>
        <v>R64</v>
      </c>
      <c r="H367" s="4">
        <f>'Raw Data'!F367</f>
        <v>2</v>
      </c>
      <c r="I367" s="18">
        <f>'Raw Data'!L367</f>
        <v>1</v>
      </c>
    </row>
    <row r="368" spans="1:9" x14ac:dyDescent="0.3">
      <c r="A368" s="17" t="str">
        <f>'Raw Data'!A368</f>
        <v>Wimbledon</v>
      </c>
      <c r="B368" s="4" t="str">
        <f>'Raw Data'!B368</f>
        <v>Tallon Griekspoor</v>
      </c>
      <c r="C368" s="4">
        <f>'Raw Data'!C368</f>
        <v>34</v>
      </c>
      <c r="D368" s="4">
        <f>'Raw Data'!D368</f>
        <v>31</v>
      </c>
      <c r="E368" s="4" t="str">
        <f>'Raw Data'!J368</f>
        <v>R64</v>
      </c>
      <c r="F368" s="4">
        <f>'Raw Data'!K368</f>
        <v>2</v>
      </c>
      <c r="G368" s="4" t="str">
        <f>'Raw Data'!E368</f>
        <v>R128</v>
      </c>
      <c r="H368" s="4">
        <f>'Raw Data'!F368</f>
        <v>1</v>
      </c>
      <c r="I368" s="18">
        <f>'Raw Data'!L368</f>
        <v>-1</v>
      </c>
    </row>
    <row r="369" spans="1:9" x14ac:dyDescent="0.3">
      <c r="A369" s="17" t="str">
        <f>'Raw Data'!A369</f>
        <v>Wimbledon</v>
      </c>
      <c r="B369" s="4" t="str">
        <f>'Raw Data'!B369</f>
        <v>Henry Searle</v>
      </c>
      <c r="C369" s="4">
        <f>'Raw Data'!C369</f>
        <v>409</v>
      </c>
      <c r="D369" s="4">
        <f>'Raw Data'!D369</f>
        <v>0</v>
      </c>
      <c r="E369" s="4" t="str">
        <f>'Raw Data'!J369</f>
        <v>R128</v>
      </c>
      <c r="F369" s="4">
        <f>'Raw Data'!K369</f>
        <v>1</v>
      </c>
      <c r="G369" s="4" t="str">
        <f>'Raw Data'!E369</f>
        <v>R128</v>
      </c>
      <c r="H369" s="4">
        <f>'Raw Data'!F369</f>
        <v>1</v>
      </c>
      <c r="I369" s="18">
        <f>'Raw Data'!L369</f>
        <v>0</v>
      </c>
    </row>
    <row r="370" spans="1:9" x14ac:dyDescent="0.3">
      <c r="A370" s="17" t="str">
        <f>'Raw Data'!A370</f>
        <v>Wimbledon</v>
      </c>
      <c r="B370" s="4" t="str">
        <f>'Raw Data'!B370</f>
        <v>Lloyd Harris</v>
      </c>
      <c r="C370" s="4">
        <f>'Raw Data'!C370</f>
        <v>319</v>
      </c>
      <c r="D370" s="4">
        <f>'Raw Data'!D370</f>
        <v>0</v>
      </c>
      <c r="E370" s="4" t="str">
        <f>'Raw Data'!J370</f>
        <v>R128</v>
      </c>
      <c r="F370" s="4">
        <f>'Raw Data'!K370</f>
        <v>1</v>
      </c>
      <c r="G370" s="4" t="str">
        <f>'Raw Data'!E370</f>
        <v>R64</v>
      </c>
      <c r="H370" s="4">
        <f>'Raw Data'!F370</f>
        <v>2</v>
      </c>
      <c r="I370" s="18">
        <f>'Raw Data'!L370</f>
        <v>1</v>
      </c>
    </row>
    <row r="371" spans="1:9" x14ac:dyDescent="0.3">
      <c r="A371" s="17" t="str">
        <f>'Raw Data'!A371</f>
        <v>Wimbledon</v>
      </c>
      <c r="B371" s="4" t="str">
        <f>'Raw Data'!B371</f>
        <v>Chris Rodesch</v>
      </c>
      <c r="C371" s="4">
        <f>'Raw Data'!C371</f>
        <v>163</v>
      </c>
      <c r="D371" s="4">
        <f>'Raw Data'!D371</f>
        <v>0</v>
      </c>
      <c r="E371" s="4" t="str">
        <f>'Raw Data'!J371</f>
        <v>R128</v>
      </c>
      <c r="F371" s="4">
        <f>'Raw Data'!K371</f>
        <v>1</v>
      </c>
      <c r="G371" s="4" t="str">
        <f>'Raw Data'!E371</f>
        <v>R128</v>
      </c>
      <c r="H371" s="4">
        <f>'Raw Data'!F371</f>
        <v>1</v>
      </c>
      <c r="I371" s="18">
        <f>'Raw Data'!L371</f>
        <v>0</v>
      </c>
    </row>
    <row r="372" spans="1:9" x14ac:dyDescent="0.3">
      <c r="A372" s="17" t="str">
        <f>'Raw Data'!A372</f>
        <v>Wimbledon</v>
      </c>
      <c r="B372" s="4" t="str">
        <f>'Raw Data'!B372</f>
        <v>Felix Auger Aliassime</v>
      </c>
      <c r="C372" s="4">
        <f>'Raw Data'!C372</f>
        <v>27</v>
      </c>
      <c r="D372" s="4">
        <f>'Raw Data'!D372</f>
        <v>25</v>
      </c>
      <c r="E372" s="4" t="str">
        <f>'Raw Data'!J372</f>
        <v>R32</v>
      </c>
      <c r="F372" s="4">
        <f>'Raw Data'!K372</f>
        <v>3</v>
      </c>
      <c r="G372" s="4" t="str">
        <f>'Raw Data'!E372</f>
        <v>R64</v>
      </c>
      <c r="H372" s="4">
        <f>'Raw Data'!F372</f>
        <v>2</v>
      </c>
      <c r="I372" s="18">
        <f>'Raw Data'!L372</f>
        <v>-1</v>
      </c>
    </row>
    <row r="373" spans="1:9" x14ac:dyDescent="0.3">
      <c r="A373" s="17" t="str">
        <f>'Raw Data'!A373</f>
        <v>Wimbledon</v>
      </c>
      <c r="B373" s="4" t="str">
        <f>'Raw Data'!B373</f>
        <v>Holger Rune</v>
      </c>
      <c r="C373" s="4">
        <f>'Raw Data'!C373</f>
        <v>8</v>
      </c>
      <c r="D373" s="4">
        <f>'Raw Data'!D373</f>
        <v>8</v>
      </c>
      <c r="E373" s="4" t="str">
        <f>'Raw Data'!J373</f>
        <v>Quarter-final</v>
      </c>
      <c r="F373" s="4">
        <f>'Raw Data'!K373</f>
        <v>5</v>
      </c>
      <c r="G373" s="4" t="str">
        <f>'Raw Data'!E373</f>
        <v>R128</v>
      </c>
      <c r="H373" s="4">
        <f>'Raw Data'!F373</f>
        <v>1</v>
      </c>
      <c r="I373" s="18">
        <f>'Raw Data'!L373</f>
        <v>-4</v>
      </c>
    </row>
    <row r="374" spans="1:9" x14ac:dyDescent="0.3">
      <c r="A374" s="17" t="str">
        <f>'Raw Data'!A374</f>
        <v>Wimbledon</v>
      </c>
      <c r="B374" s="4" t="str">
        <f>'Raw Data'!B374</f>
        <v>Learner Tien</v>
      </c>
      <c r="C374" s="4">
        <f>'Raw Data'!C374</f>
        <v>67</v>
      </c>
      <c r="D374" s="4">
        <f>'Raw Data'!D374</f>
        <v>0</v>
      </c>
      <c r="E374" s="4" t="str">
        <f>'Raw Data'!J374</f>
        <v>R128</v>
      </c>
      <c r="F374" s="4">
        <f>'Raw Data'!K374</f>
        <v>1</v>
      </c>
      <c r="G374" s="4" t="str">
        <f>'Raw Data'!E374</f>
        <v>R64</v>
      </c>
      <c r="H374" s="4">
        <f>'Raw Data'!F374</f>
        <v>2</v>
      </c>
      <c r="I374" s="18">
        <f>'Raw Data'!L374</f>
        <v>1</v>
      </c>
    </row>
    <row r="375" spans="1:9" x14ac:dyDescent="0.3">
      <c r="A375" s="17" t="str">
        <f>'Raw Data'!A375</f>
        <v>Wimbledon</v>
      </c>
      <c r="B375" s="4" t="str">
        <f>'Raw Data'!B375</f>
        <v>Nishesh Basavareddy</v>
      </c>
      <c r="C375" s="4">
        <f>'Raw Data'!C375</f>
        <v>99</v>
      </c>
      <c r="D375" s="4">
        <f>'Raw Data'!D375</f>
        <v>0</v>
      </c>
      <c r="E375" s="4" t="str">
        <f>'Raw Data'!J375</f>
        <v>R128</v>
      </c>
      <c r="F375" s="4">
        <f>'Raw Data'!K375</f>
        <v>1</v>
      </c>
      <c r="G375" s="4" t="str">
        <f>'Raw Data'!E375</f>
        <v>R128</v>
      </c>
      <c r="H375" s="4">
        <f>'Raw Data'!F375</f>
        <v>1</v>
      </c>
      <c r="I375" s="18">
        <f>'Raw Data'!L375</f>
        <v>0</v>
      </c>
    </row>
    <row r="376" spans="1:9" x14ac:dyDescent="0.3">
      <c r="A376" s="17" t="str">
        <f>'Raw Data'!A376</f>
        <v>Wimbledon</v>
      </c>
      <c r="B376" s="4" t="str">
        <f>'Raw Data'!B376</f>
        <v>Zizou Bergs</v>
      </c>
      <c r="C376" s="4">
        <f>'Raw Data'!C376</f>
        <v>50</v>
      </c>
      <c r="D376" s="4">
        <f>'Raw Data'!D376</f>
        <v>0</v>
      </c>
      <c r="E376" s="4" t="str">
        <f>'Raw Data'!J376</f>
        <v>R64</v>
      </c>
      <c r="F376" s="4">
        <f>'Raw Data'!K376</f>
        <v>2</v>
      </c>
      <c r="G376" s="4" t="str">
        <f>'Raw Data'!E376</f>
        <v>R128</v>
      </c>
      <c r="H376" s="4">
        <f>'Raw Data'!F376</f>
        <v>1</v>
      </c>
      <c r="I376" s="18">
        <f>'Raw Data'!L376</f>
        <v>-1</v>
      </c>
    </row>
    <row r="377" spans="1:9" x14ac:dyDescent="0.3">
      <c r="A377" s="17" t="str">
        <f>'Raw Data'!A377</f>
        <v>Wimbledon</v>
      </c>
      <c r="B377" s="4" t="str">
        <f>'Raw Data'!B377</f>
        <v>Joao Fonseca</v>
      </c>
      <c r="C377" s="4">
        <f>'Raw Data'!C377</f>
        <v>57</v>
      </c>
      <c r="D377" s="4">
        <f>'Raw Data'!D377</f>
        <v>0</v>
      </c>
      <c r="E377" s="4" t="str">
        <f>'Raw Data'!J377</f>
        <v>R64</v>
      </c>
      <c r="F377" s="4">
        <f>'Raw Data'!K377</f>
        <v>2</v>
      </c>
      <c r="G377" s="4" t="str">
        <f>'Raw Data'!E377</f>
        <v>R32</v>
      </c>
      <c r="H377" s="4">
        <f>'Raw Data'!F377</f>
        <v>3</v>
      </c>
      <c r="I377" s="18">
        <f>'Raw Data'!L377</f>
        <v>1</v>
      </c>
    </row>
    <row r="378" spans="1:9" x14ac:dyDescent="0.3">
      <c r="A378" s="17" t="str">
        <f>'Raw Data'!A378</f>
        <v>Wimbledon</v>
      </c>
      <c r="B378" s="4" t="str">
        <f>'Raw Data'!B378</f>
        <v>Jacob Fearnley</v>
      </c>
      <c r="C378" s="4">
        <f>'Raw Data'!C378</f>
        <v>51</v>
      </c>
      <c r="D378" s="4">
        <f>'Raw Data'!D378</f>
        <v>0</v>
      </c>
      <c r="E378" s="4" t="str">
        <f>'Raw Data'!J378</f>
        <v>R64</v>
      </c>
      <c r="F378" s="4">
        <f>'Raw Data'!K378</f>
        <v>2</v>
      </c>
      <c r="G378" s="4" t="str">
        <f>'Raw Data'!E378</f>
        <v>R128</v>
      </c>
      <c r="H378" s="4">
        <f>'Raw Data'!F378</f>
        <v>1</v>
      </c>
      <c r="I378" s="18">
        <f>'Raw Data'!L378</f>
        <v>-1</v>
      </c>
    </row>
    <row r="379" spans="1:9" x14ac:dyDescent="0.3">
      <c r="A379" s="17" t="str">
        <f>'Raw Data'!A379</f>
        <v>Wimbledon</v>
      </c>
      <c r="B379" s="4" t="str">
        <f>'Raw Data'!B379</f>
        <v>Jenson Brooksby</v>
      </c>
      <c r="C379" s="4">
        <f>'Raw Data'!C379</f>
        <v>149</v>
      </c>
      <c r="D379" s="4">
        <f>'Raw Data'!D379</f>
        <v>0</v>
      </c>
      <c r="E379" s="4" t="str">
        <f>'Raw Data'!J379</f>
        <v>R128</v>
      </c>
      <c r="F379" s="4">
        <f>'Raw Data'!K379</f>
        <v>1</v>
      </c>
      <c r="G379" s="4" t="str">
        <f>'Raw Data'!E379</f>
        <v>R64</v>
      </c>
      <c r="H379" s="4">
        <f>'Raw Data'!F379</f>
        <v>2</v>
      </c>
      <c r="I379" s="18">
        <f>'Raw Data'!L379</f>
        <v>1</v>
      </c>
    </row>
    <row r="380" spans="1:9" x14ac:dyDescent="0.3">
      <c r="A380" s="17" t="str">
        <f>'Raw Data'!A380</f>
        <v>Wimbledon</v>
      </c>
      <c r="B380" s="4" t="str">
        <f>'Raw Data'!B380</f>
        <v>Oliver Crawford</v>
      </c>
      <c r="C380" s="4">
        <f>'Raw Data'!C380</f>
        <v>252</v>
      </c>
      <c r="D380" s="4">
        <f>'Raw Data'!D380</f>
        <v>0</v>
      </c>
      <c r="E380" s="4" t="str">
        <f>'Raw Data'!J380</f>
        <v>R128</v>
      </c>
      <c r="F380" s="4">
        <f>'Raw Data'!K380</f>
        <v>1</v>
      </c>
      <c r="G380" s="4" t="str">
        <f>'Raw Data'!E380</f>
        <v>R128</v>
      </c>
      <c r="H380" s="4">
        <f>'Raw Data'!F380</f>
        <v>1</v>
      </c>
      <c r="I380" s="18">
        <f>'Raw Data'!L380</f>
        <v>0</v>
      </c>
    </row>
    <row r="381" spans="1:9" x14ac:dyDescent="0.3">
      <c r="A381" s="17" t="str">
        <f>'Raw Data'!A381</f>
        <v>Wimbledon</v>
      </c>
      <c r="B381" s="4" t="str">
        <f>'Raw Data'!B381</f>
        <v>Jiri Lehecka</v>
      </c>
      <c r="C381" s="4">
        <f>'Raw Data'!C381</f>
        <v>25</v>
      </c>
      <c r="D381" s="4">
        <f>'Raw Data'!D381</f>
        <v>23</v>
      </c>
      <c r="E381" s="4" t="str">
        <f>'Raw Data'!J381</f>
        <v>R32</v>
      </c>
      <c r="F381" s="4">
        <f>'Raw Data'!K381</f>
        <v>3</v>
      </c>
      <c r="G381" s="4" t="str">
        <f>'Raw Data'!E381</f>
        <v>R64</v>
      </c>
      <c r="H381" s="4">
        <f>'Raw Data'!F381</f>
        <v>2</v>
      </c>
      <c r="I381" s="18">
        <f>'Raw Data'!L381</f>
        <v>-1</v>
      </c>
    </row>
    <row r="382" spans="1:9" x14ac:dyDescent="0.3">
      <c r="A382" s="17" t="str">
        <f>'Raw Data'!A382</f>
        <v>Wimbledon</v>
      </c>
      <c r="B382" s="4" t="str">
        <f>'Raw Data'!B382</f>
        <v>Mattia Bellucci</v>
      </c>
      <c r="C382" s="4">
        <f>'Raw Data'!C382</f>
        <v>74</v>
      </c>
      <c r="D382" s="4">
        <f>'Raw Data'!D382</f>
        <v>0</v>
      </c>
      <c r="E382" s="4" t="str">
        <f>'Raw Data'!J382</f>
        <v>R128</v>
      </c>
      <c r="F382" s="4">
        <f>'Raw Data'!K382</f>
        <v>1</v>
      </c>
      <c r="G382" s="4" t="str">
        <f>'Raw Data'!E382</f>
        <v>R32</v>
      </c>
      <c r="H382" s="4">
        <f>'Raw Data'!F382</f>
        <v>3</v>
      </c>
      <c r="I382" s="18">
        <f>'Raw Data'!L382</f>
        <v>2</v>
      </c>
    </row>
    <row r="383" spans="1:9" x14ac:dyDescent="0.3">
      <c r="A383" s="17" t="str">
        <f>'Raw Data'!A383</f>
        <v>Wimbledon</v>
      </c>
      <c r="B383" s="4" t="str">
        <f>'Raw Data'!B383</f>
        <v>Elmer Moller</v>
      </c>
      <c r="C383" s="4">
        <f>'Raw Data'!C383</f>
        <v>114</v>
      </c>
      <c r="D383" s="4">
        <f>'Raw Data'!D383</f>
        <v>0</v>
      </c>
      <c r="E383" s="4" t="str">
        <f>'Raw Data'!J383</f>
        <v>R128</v>
      </c>
      <c r="F383" s="4">
        <f>'Raw Data'!K383</f>
        <v>1</v>
      </c>
      <c r="G383" s="4" t="str">
        <f>'Raw Data'!E383</f>
        <v>R128</v>
      </c>
      <c r="H383" s="4">
        <f>'Raw Data'!F383</f>
        <v>1</v>
      </c>
      <c r="I383" s="18">
        <f>'Raw Data'!L383</f>
        <v>0</v>
      </c>
    </row>
    <row r="384" spans="1:9" x14ac:dyDescent="0.3">
      <c r="A384" s="17" t="str">
        <f>'Raw Data'!A384</f>
        <v>Wimbledon</v>
      </c>
      <c r="B384" s="4" t="str">
        <f>'Raw Data'!B384</f>
        <v>Carlos Alcaraz</v>
      </c>
      <c r="C384" s="4">
        <f>'Raw Data'!C384</f>
        <v>2</v>
      </c>
      <c r="D384" s="4">
        <f>'Raw Data'!D384</f>
        <v>2</v>
      </c>
      <c r="E384" s="4" t="str">
        <f>'Raw Data'!J384</f>
        <v>Final</v>
      </c>
      <c r="F384" s="4">
        <f>'Raw Data'!K384</f>
        <v>7</v>
      </c>
      <c r="G384" s="4" t="str">
        <f>'Raw Data'!E384</f>
        <v>Final</v>
      </c>
      <c r="H384" s="4">
        <f>'Raw Data'!F384</f>
        <v>7</v>
      </c>
      <c r="I384" s="18">
        <f>'Raw Data'!L384</f>
        <v>0</v>
      </c>
    </row>
    <row r="385" spans="1:9" x14ac:dyDescent="0.3">
      <c r="A385" s="17" t="str">
        <f>'Raw Data'!A385</f>
        <v>Wimbledon</v>
      </c>
      <c r="B385" s="4" t="str">
        <f>'Raw Data'!B385</f>
        <v>Valentin Royer</v>
      </c>
      <c r="C385" s="4">
        <f>'Raw Data'!C385</f>
        <v>112</v>
      </c>
      <c r="D385" s="4">
        <f>'Raw Data'!D385</f>
        <v>0</v>
      </c>
      <c r="E385" s="4" t="str">
        <f>'Raw Data'!J385</f>
        <v>R128</v>
      </c>
      <c r="F385" s="4">
        <f>'Raw Data'!K385</f>
        <v>1</v>
      </c>
      <c r="G385" s="4" t="str">
        <f>'Raw Data'!E385</f>
        <v>R64</v>
      </c>
      <c r="H385" s="4">
        <f>'Raw Data'!F385</f>
        <v>2</v>
      </c>
      <c r="I385" s="18">
        <f>'Raw Data'!L385</f>
        <v>1</v>
      </c>
    </row>
    <row r="386" spans="1:9" x14ac:dyDescent="0.3">
      <c r="A386" s="17" t="str">
        <f>'Raw Data'!A386</f>
        <v>Wimbledon</v>
      </c>
      <c r="B386" s="4" t="str">
        <f>'Raw Data'!B386</f>
        <v>Filip Misolic</v>
      </c>
      <c r="C386" s="4">
        <f>'Raw Data'!C386</f>
        <v>110</v>
      </c>
      <c r="D386" s="4">
        <f>'Raw Data'!D386</f>
        <v>0</v>
      </c>
      <c r="E386" s="4" t="str">
        <f>'Raw Data'!J386</f>
        <v>R128</v>
      </c>
      <c r="F386" s="4">
        <f>'Raw Data'!K386</f>
        <v>1</v>
      </c>
      <c r="G386" s="4" t="str">
        <f>'Raw Data'!E386</f>
        <v>R128</v>
      </c>
      <c r="H386" s="4">
        <f>'Raw Data'!F386</f>
        <v>1</v>
      </c>
      <c r="I386" s="18">
        <f>'Raw Data'!L386</f>
        <v>0</v>
      </c>
    </row>
    <row r="387" spans="1:9" x14ac:dyDescent="0.3">
      <c r="A387" s="17" t="str">
        <f>'Raw Data'!A387</f>
        <v>Wimbledon</v>
      </c>
      <c r="B387" s="4" t="str">
        <f>'Raw Data'!B387</f>
        <v>Oliver Tarvet</v>
      </c>
      <c r="C387" s="4">
        <f>'Raw Data'!C387</f>
        <v>719</v>
      </c>
      <c r="D387" s="4">
        <f>'Raw Data'!D387</f>
        <v>0</v>
      </c>
      <c r="E387" s="4" t="str">
        <f>'Raw Data'!J387</f>
        <v>R128</v>
      </c>
      <c r="F387" s="4">
        <f>'Raw Data'!K387</f>
        <v>1</v>
      </c>
      <c r="G387" s="4" t="str">
        <f>'Raw Data'!E387</f>
        <v>R64</v>
      </c>
      <c r="H387" s="4">
        <f>'Raw Data'!F387</f>
        <v>2</v>
      </c>
      <c r="I387" s="18">
        <f>'Raw Data'!L387</f>
        <v>1</v>
      </c>
    </row>
    <row r="388" spans="1:9" x14ac:dyDescent="0.3">
      <c r="A388" s="17" t="str">
        <f>'Raw Data'!A388</f>
        <v>Wimbledon</v>
      </c>
      <c r="B388" s="4" t="str">
        <f>'Raw Data'!B388</f>
        <v>Leandro Riedi</v>
      </c>
      <c r="C388" s="4">
        <f>'Raw Data'!C388</f>
        <v>506</v>
      </c>
      <c r="D388" s="4">
        <f>'Raw Data'!D388</f>
        <v>0</v>
      </c>
      <c r="E388" s="4" t="str">
        <f>'Raw Data'!J388</f>
        <v>R128</v>
      </c>
      <c r="F388" s="4">
        <f>'Raw Data'!K388</f>
        <v>1</v>
      </c>
      <c r="G388" s="4" t="str">
        <f>'Raw Data'!E388</f>
        <v>R128</v>
      </c>
      <c r="H388" s="4">
        <f>'Raw Data'!F388</f>
        <v>1</v>
      </c>
      <c r="I388" s="18">
        <f>'Raw Data'!L388</f>
        <v>0</v>
      </c>
    </row>
    <row r="389" spans="1:9" x14ac:dyDescent="0.3">
      <c r="A389" s="17" t="str">
        <f>'Raw Data'!A389</f>
        <v xml:space="preserve">US Open </v>
      </c>
      <c r="B389" s="4" t="str">
        <f>'Raw Data'!B389</f>
        <v>Alexander Zverev</v>
      </c>
      <c r="C389" s="4">
        <f>'Raw Data'!C389</f>
        <v>3</v>
      </c>
      <c r="D389" s="4">
        <f>'Raw Data'!D389</f>
        <v>3</v>
      </c>
      <c r="E389" s="4" t="str">
        <f>'Raw Data'!J389</f>
        <v>Semi-final</v>
      </c>
      <c r="F389" s="4">
        <f>'Raw Data'!K389</f>
        <v>6</v>
      </c>
      <c r="G389" s="4" t="str">
        <f>'Raw Data'!E389</f>
        <v>R32</v>
      </c>
      <c r="H389" s="4">
        <f>'Raw Data'!F389</f>
        <v>3</v>
      </c>
      <c r="I389" s="18">
        <f>'Raw Data'!L389</f>
        <v>-3</v>
      </c>
    </row>
    <row r="390" spans="1:9" x14ac:dyDescent="0.3">
      <c r="A390" s="17" t="str">
        <f>'Raw Data'!A390</f>
        <v xml:space="preserve">US Open </v>
      </c>
      <c r="B390" s="4" t="str">
        <f>'Raw Data'!B390</f>
        <v>Jannik Sinner</v>
      </c>
      <c r="C390" s="4">
        <f>'Raw Data'!C390</f>
        <v>1</v>
      </c>
      <c r="D390" s="4">
        <f>'Raw Data'!D390</f>
        <v>1</v>
      </c>
      <c r="E390" s="4" t="str">
        <f>'Raw Data'!J390</f>
        <v>Final</v>
      </c>
      <c r="F390" s="4">
        <f>'Raw Data'!K390</f>
        <v>7</v>
      </c>
      <c r="G390" s="4" t="str">
        <f>'Raw Data'!E390</f>
        <v>Final</v>
      </c>
      <c r="H390" s="4">
        <f>'Raw Data'!F390</f>
        <v>7</v>
      </c>
      <c r="I390" s="18">
        <f>'Raw Data'!L390</f>
        <v>0</v>
      </c>
    </row>
    <row r="391" spans="1:9" x14ac:dyDescent="0.3">
      <c r="A391" s="17" t="str">
        <f>'Raw Data'!A391</f>
        <v xml:space="preserve">US Open </v>
      </c>
      <c r="B391" s="4" t="str">
        <f>'Raw Data'!B391</f>
        <v>Vit Kopriva</v>
      </c>
      <c r="C391" s="4">
        <f>'Raw Data'!C391</f>
        <v>87</v>
      </c>
      <c r="D391" s="4">
        <f>'Raw Data'!D391</f>
        <v>0</v>
      </c>
      <c r="E391" s="4" t="str">
        <f>'Raw Data'!J391</f>
        <v>R128</v>
      </c>
      <c r="F391" s="4">
        <f>'Raw Data'!K391</f>
        <v>1</v>
      </c>
      <c r="G391" s="4" t="str">
        <f>'Raw Data'!E391</f>
        <v>R128</v>
      </c>
      <c r="H391" s="4">
        <f>'Raw Data'!F391</f>
        <v>1</v>
      </c>
      <c r="I391" s="18">
        <f>'Raw Data'!L391</f>
        <v>0</v>
      </c>
    </row>
    <row r="392" spans="1:9" x14ac:dyDescent="0.3">
      <c r="A392" s="17" t="str">
        <f>'Raw Data'!A392</f>
        <v xml:space="preserve">US Open </v>
      </c>
      <c r="B392" s="4" t="str">
        <f>'Raw Data'!B392</f>
        <v>Martin Damm</v>
      </c>
      <c r="C392" s="4">
        <f>'Raw Data'!C392</f>
        <v>429</v>
      </c>
      <c r="D392" s="4">
        <f>'Raw Data'!D392</f>
        <v>0</v>
      </c>
      <c r="E392" s="4" t="str">
        <f>'Raw Data'!J392</f>
        <v>R128</v>
      </c>
      <c r="F392" s="4">
        <f>'Raw Data'!K392</f>
        <v>1</v>
      </c>
      <c r="G392" s="4" t="str">
        <f>'Raw Data'!E392</f>
        <v>R64</v>
      </c>
      <c r="H392" s="4">
        <f>'Raw Data'!F392</f>
        <v>2</v>
      </c>
      <c r="I392" s="18">
        <f>'Raw Data'!L392</f>
        <v>1</v>
      </c>
    </row>
    <row r="393" spans="1:9" x14ac:dyDescent="0.3">
      <c r="A393" s="17" t="str">
        <f>'Raw Data'!A393</f>
        <v xml:space="preserve">US Open </v>
      </c>
      <c r="B393" s="4" t="str">
        <f>'Raw Data'!B393</f>
        <v>Alexei Popyrin</v>
      </c>
      <c r="C393" s="4">
        <f>'Raw Data'!C393</f>
        <v>37</v>
      </c>
      <c r="D393" s="4">
        <f>'Raw Data'!D393</f>
        <v>0</v>
      </c>
      <c r="E393" s="4" t="str">
        <f>'Raw Data'!J393</f>
        <v>R64</v>
      </c>
      <c r="F393" s="4">
        <f>'Raw Data'!K393</f>
        <v>2</v>
      </c>
      <c r="G393" s="4" t="str">
        <f>'Raw Data'!E393</f>
        <v>R64</v>
      </c>
      <c r="H393" s="4">
        <f>'Raw Data'!F393</f>
        <v>2</v>
      </c>
      <c r="I393" s="18">
        <f>'Raw Data'!L393</f>
        <v>0</v>
      </c>
    </row>
    <row r="394" spans="1:9" x14ac:dyDescent="0.3">
      <c r="A394" s="17" t="str">
        <f>'Raw Data'!A394</f>
        <v xml:space="preserve">US Open </v>
      </c>
      <c r="B394" s="4" t="str">
        <f>'Raw Data'!B394</f>
        <v>Emil Ruusuvuori</v>
      </c>
      <c r="C394" s="4">
        <f>'Raw Data'!C394</f>
        <v>749</v>
      </c>
      <c r="D394" s="4">
        <f>'Raw Data'!D394</f>
        <v>0</v>
      </c>
      <c r="E394" s="4" t="str">
        <f>'Raw Data'!J394</f>
        <v>R128</v>
      </c>
      <c r="F394" s="4">
        <f>'Raw Data'!K394</f>
        <v>1</v>
      </c>
      <c r="G394" s="4" t="str">
        <f>'Raw Data'!E394</f>
        <v>R128</v>
      </c>
      <c r="H394" s="4">
        <f>'Raw Data'!F394</f>
        <v>1</v>
      </c>
      <c r="I394" s="18">
        <f>'Raw Data'!L394</f>
        <v>0</v>
      </c>
    </row>
    <row r="395" spans="1:9" x14ac:dyDescent="0.3">
      <c r="A395" s="17" t="str">
        <f>'Raw Data'!A395</f>
        <v xml:space="preserve">US Open </v>
      </c>
      <c r="B395" s="4" t="str">
        <f>'Raw Data'!B395</f>
        <v>Marton Fucsovics</v>
      </c>
      <c r="C395" s="4">
        <f>'Raw Data'!C395</f>
        <v>94</v>
      </c>
      <c r="D395" s="4">
        <f>'Raw Data'!D395</f>
        <v>0</v>
      </c>
      <c r="E395" s="4" t="str">
        <f>'Raw Data'!J395</f>
        <v>R128</v>
      </c>
      <c r="F395" s="4">
        <f>'Raw Data'!K395</f>
        <v>1</v>
      </c>
      <c r="G395" s="4" t="str">
        <f>'Raw Data'!E395</f>
        <v>R128</v>
      </c>
      <c r="H395" s="4">
        <f>'Raw Data'!F395</f>
        <v>1</v>
      </c>
      <c r="I395" s="18">
        <f>'Raw Data'!L395</f>
        <v>0</v>
      </c>
    </row>
    <row r="396" spans="1:9" x14ac:dyDescent="0.3">
      <c r="A396" s="17" t="str">
        <f>'Raw Data'!A396</f>
        <v xml:space="preserve">US Open </v>
      </c>
      <c r="B396" s="4" t="str">
        <f>'Raw Data'!B396</f>
        <v>Valentin Royer</v>
      </c>
      <c r="C396" s="4">
        <f>'Raw Data'!C396</f>
        <v>99</v>
      </c>
      <c r="D396" s="4">
        <f>'Raw Data'!D396</f>
        <v>0</v>
      </c>
      <c r="E396" s="4" t="str">
        <f>'Raw Data'!J396</f>
        <v>R128</v>
      </c>
      <c r="F396" s="4">
        <f>'Raw Data'!K396</f>
        <v>1</v>
      </c>
      <c r="G396" s="4" t="str">
        <f>'Raw Data'!E396</f>
        <v>R64</v>
      </c>
      <c r="H396" s="4">
        <f>'Raw Data'!F396</f>
        <v>2</v>
      </c>
      <c r="I396" s="18">
        <f>'Raw Data'!L396</f>
        <v>1</v>
      </c>
    </row>
    <row r="397" spans="1:9" x14ac:dyDescent="0.3">
      <c r="A397" s="17" t="str">
        <f>'Raw Data'!A397</f>
        <v xml:space="preserve">US Open </v>
      </c>
      <c r="B397" s="4" t="str">
        <f>'Raw Data'!B397</f>
        <v>Bu Yunchaokete</v>
      </c>
      <c r="C397" s="4">
        <f>'Raw Data'!C397</f>
        <v>76</v>
      </c>
      <c r="D397" s="4">
        <f>'Raw Data'!D397</f>
        <v>0</v>
      </c>
      <c r="E397" s="4" t="str">
        <f>'Raw Data'!J397</f>
        <v>R128</v>
      </c>
      <c r="F397" s="4">
        <f>'Raw Data'!K397</f>
        <v>1</v>
      </c>
      <c r="G397" s="4" t="str">
        <f>'Raw Data'!E397</f>
        <v>R128</v>
      </c>
      <c r="H397" s="4">
        <f>'Raw Data'!F397</f>
        <v>1</v>
      </c>
      <c r="I397" s="18">
        <f>'Raw Data'!L397</f>
        <v>0</v>
      </c>
    </row>
    <row r="398" spans="1:9" x14ac:dyDescent="0.3">
      <c r="A398" s="17" t="str">
        <f>'Raw Data'!A398</f>
        <v xml:space="preserve">US Open </v>
      </c>
      <c r="B398" s="4" t="str">
        <f>'Raw Data'!B398</f>
        <v>Gael Monfils</v>
      </c>
      <c r="C398" s="4">
        <f>'Raw Data'!C398</f>
        <v>50</v>
      </c>
      <c r="D398" s="4">
        <f>'Raw Data'!D398</f>
        <v>0</v>
      </c>
      <c r="E398" s="4" t="str">
        <f>'Raw Data'!J398</f>
        <v>R64</v>
      </c>
      <c r="F398" s="4">
        <f>'Raw Data'!K398</f>
        <v>2</v>
      </c>
      <c r="G398" s="4" t="str">
        <f>'Raw Data'!E398</f>
        <v>R128</v>
      </c>
      <c r="H398" s="4">
        <f>'Raw Data'!F398</f>
        <v>1</v>
      </c>
      <c r="I398" s="18">
        <f>'Raw Data'!L398</f>
        <v>-1</v>
      </c>
    </row>
    <row r="399" spans="1:9" x14ac:dyDescent="0.3">
      <c r="A399" s="17" t="str">
        <f>'Raw Data'!A399</f>
        <v xml:space="preserve">US Open </v>
      </c>
      <c r="B399" s="4" t="str">
        <f>'Raw Data'!B399</f>
        <v>Denis Shapovalov</v>
      </c>
      <c r="C399" s="4">
        <f>'Raw Data'!C399</f>
        <v>29</v>
      </c>
      <c r="D399" s="4">
        <f>'Raw Data'!D399</f>
        <v>27</v>
      </c>
      <c r="E399" s="4" t="str">
        <f>'Raw Data'!J399</f>
        <v>R32</v>
      </c>
      <c r="F399" s="4">
        <f>'Raw Data'!K399</f>
        <v>3</v>
      </c>
      <c r="G399" s="4" t="str">
        <f>'Raw Data'!E399</f>
        <v>R32</v>
      </c>
      <c r="H399" s="4">
        <f>'Raw Data'!F399</f>
        <v>3</v>
      </c>
      <c r="I399" s="18">
        <f>'Raw Data'!L399</f>
        <v>0</v>
      </c>
    </row>
    <row r="400" spans="1:9" x14ac:dyDescent="0.3">
      <c r="A400" s="17" t="str">
        <f>'Raw Data'!A400</f>
        <v xml:space="preserve">US Open </v>
      </c>
      <c r="B400" s="4" t="str">
        <f>'Raw Data'!B400</f>
        <v>Marin Cilic</v>
      </c>
      <c r="C400" s="4">
        <f>'Raw Data'!C400</f>
        <v>61</v>
      </c>
      <c r="D400" s="4">
        <f>'Raw Data'!D400</f>
        <v>0</v>
      </c>
      <c r="E400" s="4" t="str">
        <f>'Raw Data'!J400</f>
        <v>R64</v>
      </c>
      <c r="F400" s="4">
        <f>'Raw Data'!K400</f>
        <v>2</v>
      </c>
      <c r="G400" s="4" t="str">
        <f>'Raw Data'!E400</f>
        <v>R128</v>
      </c>
      <c r="H400" s="4">
        <f>'Raw Data'!F400</f>
        <v>1</v>
      </c>
      <c r="I400" s="18">
        <f>'Raw Data'!L400</f>
        <v>-1</v>
      </c>
    </row>
    <row r="401" spans="1:9" x14ac:dyDescent="0.3">
      <c r="A401" s="17" t="str">
        <f>'Raw Data'!A401</f>
        <v xml:space="preserve">US Open </v>
      </c>
      <c r="B401" s="4" t="str">
        <f>'Raw Data'!B401</f>
        <v>Alexander Bublik</v>
      </c>
      <c r="C401" s="4">
        <f>'Raw Data'!C401</f>
        <v>24</v>
      </c>
      <c r="D401" s="4">
        <f>'Raw Data'!D401</f>
        <v>23</v>
      </c>
      <c r="E401" s="4" t="str">
        <f>'Raw Data'!J401</f>
        <v>R32</v>
      </c>
      <c r="F401" s="4">
        <f>'Raw Data'!K401</f>
        <v>3</v>
      </c>
      <c r="G401" s="4" t="str">
        <f>'Raw Data'!E401</f>
        <v>R16</v>
      </c>
      <c r="H401" s="4">
        <f>'Raw Data'!F401</f>
        <v>4</v>
      </c>
      <c r="I401" s="18">
        <f>'Raw Data'!L401</f>
        <v>1</v>
      </c>
    </row>
    <row r="402" spans="1:9" x14ac:dyDescent="0.3">
      <c r="A402" s="17" t="str">
        <f>'Raw Data'!A402</f>
        <v xml:space="preserve">US Open </v>
      </c>
      <c r="B402" s="4" t="str">
        <f>'Raw Data'!B402</f>
        <v>Novak Djokovic</v>
      </c>
      <c r="C402" s="4">
        <f>'Raw Data'!C402</f>
        <v>7</v>
      </c>
      <c r="D402" s="4">
        <f>'Raw Data'!D402</f>
        <v>7</v>
      </c>
      <c r="E402" s="4" t="str">
        <f>'Raw Data'!J402</f>
        <v>Quarter-final</v>
      </c>
      <c r="F402" s="4">
        <f>'Raw Data'!K402</f>
        <v>5</v>
      </c>
      <c r="G402" s="4" t="str">
        <f>'Raw Data'!E402</f>
        <v>Semi-final</v>
      </c>
      <c r="H402" s="4">
        <f>'Raw Data'!F402</f>
        <v>6</v>
      </c>
      <c r="I402" s="18">
        <f>'Raw Data'!L402</f>
        <v>1</v>
      </c>
    </row>
    <row r="403" spans="1:9" x14ac:dyDescent="0.3">
      <c r="A403" s="17" t="str">
        <f>'Raw Data'!A403</f>
        <v xml:space="preserve">US Open </v>
      </c>
      <c r="B403" s="4" t="str">
        <f>'Raw Data'!B403</f>
        <v>Tristan Schoolkate</v>
      </c>
      <c r="C403" s="4">
        <f>'Raw Data'!C403</f>
        <v>97</v>
      </c>
      <c r="D403" s="4">
        <f>'Raw Data'!D403</f>
        <v>0</v>
      </c>
      <c r="E403" s="4" t="str">
        <f>'Raw Data'!J403</f>
        <v>R128</v>
      </c>
      <c r="F403" s="4">
        <f>'Raw Data'!K403</f>
        <v>1</v>
      </c>
      <c r="G403" s="4" t="str">
        <f>'Raw Data'!E403</f>
        <v>R64</v>
      </c>
      <c r="H403" s="4">
        <f>'Raw Data'!F403</f>
        <v>2</v>
      </c>
      <c r="I403" s="18">
        <f>'Raw Data'!L403</f>
        <v>1</v>
      </c>
    </row>
    <row r="404" spans="1:9" x14ac:dyDescent="0.3">
      <c r="A404" s="17" t="str">
        <f>'Raw Data'!A404</f>
        <v xml:space="preserve">US Open </v>
      </c>
      <c r="B404" s="4" t="str">
        <f>'Raw Data'!B404</f>
        <v>Lorenzo Sonego</v>
      </c>
      <c r="C404" s="4">
        <f>'Raw Data'!C404</f>
        <v>35</v>
      </c>
      <c r="D404" s="4">
        <f>'Raw Data'!D404</f>
        <v>0</v>
      </c>
      <c r="E404" s="4" t="str">
        <f>'Raw Data'!J404</f>
        <v>R64</v>
      </c>
      <c r="F404" s="4">
        <f>'Raw Data'!K404</f>
        <v>2</v>
      </c>
      <c r="G404" s="4" t="str">
        <f>'Raw Data'!E404</f>
        <v>R128</v>
      </c>
      <c r="H404" s="4">
        <f>'Raw Data'!F404</f>
        <v>1</v>
      </c>
      <c r="I404" s="18">
        <f>'Raw Data'!L404</f>
        <v>-1</v>
      </c>
    </row>
    <row r="405" spans="1:9" x14ac:dyDescent="0.3">
      <c r="A405" s="17" t="str">
        <f>'Raw Data'!A405</f>
        <v xml:space="preserve">US Open </v>
      </c>
      <c r="B405" s="4" t="str">
        <f>'Raw Data'!B405</f>
        <v>David Goffin</v>
      </c>
      <c r="C405" s="4">
        <f>'Raw Data'!C405</f>
        <v>68</v>
      </c>
      <c r="D405" s="4">
        <f>'Raw Data'!D405</f>
        <v>0</v>
      </c>
      <c r="E405" s="4" t="str">
        <f>'Raw Data'!J405</f>
        <v>R128</v>
      </c>
      <c r="F405" s="4">
        <f>'Raw Data'!K405</f>
        <v>1</v>
      </c>
      <c r="G405" s="4" t="str">
        <f>'Raw Data'!E405</f>
        <v>R64</v>
      </c>
      <c r="H405" s="4">
        <f>'Raw Data'!F405</f>
        <v>2</v>
      </c>
      <c r="I405" s="18">
        <f>'Raw Data'!L405</f>
        <v>1</v>
      </c>
    </row>
    <row r="406" spans="1:9" x14ac:dyDescent="0.3">
      <c r="A406" s="17" t="str">
        <f>'Raw Data'!A406</f>
        <v xml:space="preserve">US Open </v>
      </c>
      <c r="B406" s="4" t="str">
        <f>'Raw Data'!B406</f>
        <v>Nuno Borges</v>
      </c>
      <c r="C406" s="4">
        <f>'Raw Data'!C406</f>
        <v>42</v>
      </c>
      <c r="D406" s="4">
        <f>'Raw Data'!D406</f>
        <v>0</v>
      </c>
      <c r="E406" s="4" t="str">
        <f>'Raw Data'!J406</f>
        <v>R64</v>
      </c>
      <c r="F406" s="4">
        <f>'Raw Data'!K406</f>
        <v>2</v>
      </c>
      <c r="G406" s="4" t="str">
        <f>'Raw Data'!E406</f>
        <v>R64</v>
      </c>
      <c r="H406" s="4">
        <f>'Raw Data'!F406</f>
        <v>2</v>
      </c>
      <c r="I406" s="18">
        <f>'Raw Data'!L406</f>
        <v>0</v>
      </c>
    </row>
    <row r="407" spans="1:9" x14ac:dyDescent="0.3">
      <c r="A407" s="17" t="str">
        <f>'Raw Data'!A407</f>
        <v xml:space="preserve">US Open </v>
      </c>
      <c r="B407" s="4" t="str">
        <f>'Raw Data'!B407</f>
        <v>Brandon Holt</v>
      </c>
      <c r="C407" s="4">
        <f>'Raw Data'!C407</f>
        <v>111</v>
      </c>
      <c r="D407" s="4">
        <f>'Raw Data'!D407</f>
        <v>0</v>
      </c>
      <c r="E407" s="4" t="str">
        <f>'Raw Data'!J407</f>
        <v>R128</v>
      </c>
      <c r="F407" s="4">
        <f>'Raw Data'!K407</f>
        <v>1</v>
      </c>
      <c r="G407" s="4" t="str">
        <f>'Raw Data'!E407</f>
        <v>R128</v>
      </c>
      <c r="H407" s="4">
        <f>'Raw Data'!F407</f>
        <v>1</v>
      </c>
      <c r="I407" s="18">
        <f>'Raw Data'!L407</f>
        <v>0</v>
      </c>
    </row>
    <row r="408" spans="1:9" x14ac:dyDescent="0.3">
      <c r="A408" s="17" t="str">
        <f>'Raw Data'!A408</f>
        <v xml:space="preserve">US Open </v>
      </c>
      <c r="B408" s="4" t="str">
        <f>'Raw Data'!B408</f>
        <v>Roberto Bautista Agut</v>
      </c>
      <c r="C408" s="4">
        <f>'Raw Data'!C408</f>
        <v>47</v>
      </c>
      <c r="D408" s="4">
        <f>'Raw Data'!D408</f>
        <v>0</v>
      </c>
      <c r="E408" s="4" t="str">
        <f>'Raw Data'!J408</f>
        <v>R64</v>
      </c>
      <c r="F408" s="4">
        <f>'Raw Data'!K408</f>
        <v>2</v>
      </c>
      <c r="G408" s="4" t="str">
        <f>'Raw Data'!E408</f>
        <v>R128</v>
      </c>
      <c r="H408" s="4">
        <f>'Raw Data'!F408</f>
        <v>1</v>
      </c>
      <c r="I408" s="18">
        <f>'Raw Data'!L408</f>
        <v>-1</v>
      </c>
    </row>
    <row r="409" spans="1:9" x14ac:dyDescent="0.3">
      <c r="A409" s="17" t="str">
        <f>'Raw Data'!A409</f>
        <v xml:space="preserve">US Open </v>
      </c>
      <c r="B409" s="4" t="str">
        <f>'Raw Data'!B409</f>
        <v>Tommy Paul</v>
      </c>
      <c r="C409" s="4">
        <f>'Raw Data'!C409</f>
        <v>14</v>
      </c>
      <c r="D409" s="4">
        <f>'Raw Data'!D409</f>
        <v>14</v>
      </c>
      <c r="E409" s="4" t="str">
        <f>'Raw Data'!J409</f>
        <v>R16</v>
      </c>
      <c r="F409" s="4">
        <f>'Raw Data'!K409</f>
        <v>4</v>
      </c>
      <c r="G409" s="4" t="str">
        <f>'Raw Data'!E409</f>
        <v>R32</v>
      </c>
      <c r="H409" s="4">
        <f>'Raw Data'!F409</f>
        <v>3</v>
      </c>
      <c r="I409" s="18">
        <f>'Raw Data'!L409</f>
        <v>-1</v>
      </c>
    </row>
    <row r="410" spans="1:9" x14ac:dyDescent="0.3">
      <c r="A410" s="17" t="str">
        <f>'Raw Data'!A410</f>
        <v xml:space="preserve">US Open </v>
      </c>
      <c r="B410" s="4" t="str">
        <f>'Raw Data'!B410</f>
        <v>Adrian Mannarino</v>
      </c>
      <c r="C410" s="4">
        <f>'Raw Data'!C410</f>
        <v>73</v>
      </c>
      <c r="D410" s="4">
        <f>'Raw Data'!D410</f>
        <v>0</v>
      </c>
      <c r="E410" s="4" t="str">
        <f>'Raw Data'!J410</f>
        <v>R128</v>
      </c>
      <c r="F410" s="4">
        <f>'Raw Data'!K410</f>
        <v>1</v>
      </c>
      <c r="G410" s="4" t="str">
        <f>'Raw Data'!E410</f>
        <v>R16</v>
      </c>
      <c r="H410" s="4">
        <f>'Raw Data'!F410</f>
        <v>4</v>
      </c>
      <c r="I410" s="18">
        <f>'Raw Data'!L410</f>
        <v>3</v>
      </c>
    </row>
    <row r="411" spans="1:9" x14ac:dyDescent="0.3">
      <c r="A411" s="17" t="str">
        <f>'Raw Data'!A411</f>
        <v xml:space="preserve">US Open </v>
      </c>
      <c r="B411" s="4" t="str">
        <f>'Raw Data'!B411</f>
        <v>Elmer Moller</v>
      </c>
      <c r="C411" s="4">
        <f>'Raw Data'!C411</f>
        <v>110</v>
      </c>
      <c r="D411" s="4">
        <f>'Raw Data'!D411</f>
        <v>0</v>
      </c>
      <c r="E411" s="4" t="str">
        <f>'Raw Data'!J411</f>
        <v>R128</v>
      </c>
      <c r="F411" s="4">
        <f>'Raw Data'!K411</f>
        <v>1</v>
      </c>
      <c r="G411" s="4" t="str">
        <f>'Raw Data'!E411</f>
        <v>R128</v>
      </c>
      <c r="H411" s="4">
        <f>'Raw Data'!F411</f>
        <v>1</v>
      </c>
      <c r="I411" s="18">
        <f>'Raw Data'!L411</f>
        <v>0</v>
      </c>
    </row>
    <row r="412" spans="1:9" x14ac:dyDescent="0.3">
      <c r="A412" s="17" t="str">
        <f>'Raw Data'!A412</f>
        <v xml:space="preserve">US Open </v>
      </c>
      <c r="B412" s="4" t="str">
        <f>'Raw Data'!B412</f>
        <v>Lorenzo Musetti</v>
      </c>
      <c r="C412" s="4">
        <f>'Raw Data'!C412</f>
        <v>10</v>
      </c>
      <c r="D412" s="4">
        <f>'Raw Data'!D412</f>
        <v>10</v>
      </c>
      <c r="E412" s="4" t="str">
        <f>'Raw Data'!J412</f>
        <v>R16</v>
      </c>
      <c r="F412" s="4">
        <f>'Raw Data'!K412</f>
        <v>4</v>
      </c>
      <c r="G412" s="4" t="str">
        <f>'Raw Data'!E412</f>
        <v>Quarter-final</v>
      </c>
      <c r="H412" s="4">
        <f>'Raw Data'!F412</f>
        <v>5</v>
      </c>
      <c r="I412" s="18">
        <f>'Raw Data'!L412</f>
        <v>1</v>
      </c>
    </row>
    <row r="413" spans="1:9" x14ac:dyDescent="0.3">
      <c r="A413" s="17" t="str">
        <f>'Raw Data'!A413</f>
        <v xml:space="preserve">US Open </v>
      </c>
      <c r="B413" s="4" t="str">
        <f>'Raw Data'!B413</f>
        <v>Damir Dzumhur</v>
      </c>
      <c r="C413" s="4">
        <f>'Raw Data'!C413</f>
        <v>60</v>
      </c>
      <c r="D413" s="4">
        <f>'Raw Data'!D413</f>
        <v>0</v>
      </c>
      <c r="E413" s="4" t="str">
        <f>'Raw Data'!J413</f>
        <v>R64</v>
      </c>
      <c r="F413" s="4">
        <f>'Raw Data'!K413</f>
        <v>2</v>
      </c>
      <c r="G413" s="4" t="str">
        <f>'Raw Data'!E413</f>
        <v>R128</v>
      </c>
      <c r="H413" s="4">
        <f>'Raw Data'!F413</f>
        <v>1</v>
      </c>
      <c r="I413" s="18">
        <f>'Raw Data'!L413</f>
        <v>-1</v>
      </c>
    </row>
    <row r="414" spans="1:9" x14ac:dyDescent="0.3">
      <c r="A414" s="17" t="str">
        <f>'Raw Data'!A414</f>
        <v xml:space="preserve">US Open </v>
      </c>
      <c r="B414" s="4" t="str">
        <f>'Raw Data'!B414</f>
        <v>Giovanni Mpetshi Perricard</v>
      </c>
      <c r="C414" s="4">
        <f>'Raw Data'!C414</f>
        <v>39</v>
      </c>
      <c r="D414" s="4">
        <f>'Raw Data'!D414</f>
        <v>0</v>
      </c>
      <c r="E414" s="4" t="str">
        <f>'Raw Data'!J414</f>
        <v>R64</v>
      </c>
      <c r="F414" s="4">
        <f>'Raw Data'!K414</f>
        <v>2</v>
      </c>
      <c r="G414" s="4" t="str">
        <f>'Raw Data'!E414</f>
        <v>R128</v>
      </c>
      <c r="H414" s="4">
        <f>'Raw Data'!F414</f>
        <v>1</v>
      </c>
      <c r="I414" s="18">
        <f>'Raw Data'!L414</f>
        <v>-1</v>
      </c>
    </row>
    <row r="415" spans="1:9" x14ac:dyDescent="0.3">
      <c r="A415" s="17" t="str">
        <f>'Raw Data'!A415</f>
        <v xml:space="preserve">US Open </v>
      </c>
      <c r="B415" s="4" t="str">
        <f>'Raw Data'!B415</f>
        <v>Jan Lennard Struff</v>
      </c>
      <c r="C415" s="4">
        <f>'Raw Data'!C415</f>
        <v>145</v>
      </c>
      <c r="D415" s="4">
        <f>'Raw Data'!D415</f>
        <v>0</v>
      </c>
      <c r="E415" s="4" t="str">
        <f>'Raw Data'!J415</f>
        <v>R128</v>
      </c>
      <c r="F415" s="4">
        <f>'Raw Data'!K415</f>
        <v>1</v>
      </c>
      <c r="G415" s="4" t="str">
        <f>'Raw Data'!E415</f>
        <v>R16</v>
      </c>
      <c r="H415" s="4">
        <f>'Raw Data'!F415</f>
        <v>4</v>
      </c>
      <c r="I415" s="18">
        <f>'Raw Data'!L415</f>
        <v>3</v>
      </c>
    </row>
    <row r="416" spans="1:9" x14ac:dyDescent="0.3">
      <c r="A416" s="17" t="str">
        <f>'Raw Data'!A416</f>
        <v xml:space="preserve">US Open </v>
      </c>
      <c r="B416" s="4" t="str">
        <f>'Raw Data'!B416</f>
        <v>Quentin Halys</v>
      </c>
      <c r="C416" s="4">
        <f>'Raw Data'!C416</f>
        <v>70</v>
      </c>
      <c r="D416" s="4">
        <f>'Raw Data'!D416</f>
        <v>0</v>
      </c>
      <c r="E416" s="4" t="str">
        <f>'Raw Data'!J416</f>
        <v>R128</v>
      </c>
      <c r="F416" s="4">
        <f>'Raw Data'!K416</f>
        <v>1</v>
      </c>
      <c r="G416" s="4" t="str">
        <f>'Raw Data'!E416</f>
        <v>R128</v>
      </c>
      <c r="H416" s="4">
        <f>'Raw Data'!F416</f>
        <v>1</v>
      </c>
      <c r="I416" s="18">
        <f>'Raw Data'!L416</f>
        <v>0</v>
      </c>
    </row>
    <row r="417" spans="1:9" x14ac:dyDescent="0.3">
      <c r="A417" s="17" t="str">
        <f>'Raw Data'!A417</f>
        <v xml:space="preserve">US Open </v>
      </c>
      <c r="B417" s="4" t="str">
        <f>'Raw Data'!B417</f>
        <v>James Duckworth</v>
      </c>
      <c r="C417" s="4">
        <f>'Raw Data'!C417</f>
        <v>107</v>
      </c>
      <c r="D417" s="4">
        <f>'Raw Data'!D417</f>
        <v>0</v>
      </c>
      <c r="E417" s="4" t="str">
        <f>'Raw Data'!J417</f>
        <v>R128</v>
      </c>
      <c r="F417" s="4">
        <f>'Raw Data'!K417</f>
        <v>1</v>
      </c>
      <c r="G417" s="4" t="str">
        <f>'Raw Data'!E417</f>
        <v>R128</v>
      </c>
      <c r="H417" s="4">
        <f>'Raw Data'!F417</f>
        <v>1</v>
      </c>
      <c r="I417" s="18">
        <f>'Raw Data'!L417</f>
        <v>0</v>
      </c>
    </row>
    <row r="418" spans="1:9" x14ac:dyDescent="0.3">
      <c r="A418" s="17" t="str">
        <f>'Raw Data'!A418</f>
        <v xml:space="preserve">US Open </v>
      </c>
      <c r="B418" s="4" t="str">
        <f>'Raw Data'!B418</f>
        <v>Jenson Brooksby</v>
      </c>
      <c r="C418" s="4">
        <f>'Raw Data'!C418</f>
        <v>91</v>
      </c>
      <c r="D418" s="4">
        <f>'Raw Data'!D418</f>
        <v>0</v>
      </c>
      <c r="E418" s="4" t="str">
        <f>'Raw Data'!J418</f>
        <v>R128</v>
      </c>
      <c r="F418" s="4">
        <f>'Raw Data'!K418</f>
        <v>1</v>
      </c>
      <c r="G418" s="4" t="str">
        <f>'Raw Data'!E418</f>
        <v>R64</v>
      </c>
      <c r="H418" s="4">
        <f>'Raw Data'!F418</f>
        <v>2</v>
      </c>
      <c r="I418" s="18">
        <f>'Raw Data'!L418</f>
        <v>1</v>
      </c>
    </row>
    <row r="419" spans="1:9" x14ac:dyDescent="0.3">
      <c r="A419" s="17" t="str">
        <f>'Raw Data'!A419</f>
        <v xml:space="preserve">US Open </v>
      </c>
      <c r="B419" s="4" t="str">
        <f>'Raw Data'!B419</f>
        <v>Aleksandar Vukic</v>
      </c>
      <c r="C419" s="4">
        <f>'Raw Data'!C419</f>
        <v>93</v>
      </c>
      <c r="D419" s="4">
        <f>'Raw Data'!D419</f>
        <v>0</v>
      </c>
      <c r="E419" s="4" t="str">
        <f>'Raw Data'!J419</f>
        <v>R128</v>
      </c>
      <c r="F419" s="4">
        <f>'Raw Data'!K419</f>
        <v>1</v>
      </c>
      <c r="G419" s="4" t="str">
        <f>'Raw Data'!E419</f>
        <v>R128</v>
      </c>
      <c r="H419" s="4">
        <f>'Raw Data'!F419</f>
        <v>1</v>
      </c>
      <c r="I419" s="18">
        <f>'Raw Data'!L419</f>
        <v>0</v>
      </c>
    </row>
    <row r="420" spans="1:9" x14ac:dyDescent="0.3">
      <c r="A420" s="17" t="str">
        <f>'Raw Data'!A420</f>
        <v xml:space="preserve">US Open </v>
      </c>
      <c r="B420" s="4" t="str">
        <f>'Raw Data'!B420</f>
        <v>Hugo Dellien</v>
      </c>
      <c r="C420" s="4">
        <f>'Raw Data'!C420</f>
        <v>122</v>
      </c>
      <c r="D420" s="4">
        <f>'Raw Data'!D420</f>
        <v>0</v>
      </c>
      <c r="E420" s="4" t="str">
        <f>'Raw Data'!J420</f>
        <v>R128</v>
      </c>
      <c r="F420" s="4">
        <f>'Raw Data'!K420</f>
        <v>1</v>
      </c>
      <c r="G420" s="4" t="str">
        <f>'Raw Data'!E420</f>
        <v>R128</v>
      </c>
      <c r="H420" s="4">
        <f>'Raw Data'!F420</f>
        <v>1</v>
      </c>
      <c r="I420" s="18">
        <f>'Raw Data'!L420</f>
        <v>0</v>
      </c>
    </row>
    <row r="421" spans="1:9" x14ac:dyDescent="0.3">
      <c r="A421" s="17" t="str">
        <f>'Raw Data'!A421</f>
        <v xml:space="preserve">US Open </v>
      </c>
      <c r="B421" s="4" t="str">
        <f>'Raw Data'!B421</f>
        <v>Flavio Cobolli</v>
      </c>
      <c r="C421" s="4">
        <f>'Raw Data'!C421</f>
        <v>26</v>
      </c>
      <c r="D421" s="4">
        <f>'Raw Data'!D421</f>
        <v>24</v>
      </c>
      <c r="E421" s="4" t="str">
        <f>'Raw Data'!J421</f>
        <v>R32</v>
      </c>
      <c r="F421" s="4">
        <f>'Raw Data'!K421</f>
        <v>3</v>
      </c>
      <c r="G421" s="4" t="str">
        <f>'Raw Data'!E421</f>
        <v>R32</v>
      </c>
      <c r="H421" s="4">
        <f>'Raw Data'!F421</f>
        <v>3</v>
      </c>
      <c r="I421" s="18">
        <f>'Raw Data'!L421</f>
        <v>0</v>
      </c>
    </row>
    <row r="422" spans="1:9" x14ac:dyDescent="0.3">
      <c r="A422" s="17" t="str">
        <f>'Raw Data'!A422</f>
        <v xml:space="preserve">US Open </v>
      </c>
      <c r="B422" s="4" t="str">
        <f>'Raw Data'!B422</f>
        <v>Francesco Passaro</v>
      </c>
      <c r="C422" s="4">
        <f>'Raw Data'!C422</f>
        <v>121</v>
      </c>
      <c r="D422" s="4">
        <f>'Raw Data'!D422</f>
        <v>0</v>
      </c>
      <c r="E422" s="4" t="str">
        <f>'Raw Data'!J422</f>
        <v>R128</v>
      </c>
      <c r="F422" s="4">
        <f>'Raw Data'!K422</f>
        <v>1</v>
      </c>
      <c r="G422" s="4" t="str">
        <f>'Raw Data'!E422</f>
        <v>R128</v>
      </c>
      <c r="H422" s="4">
        <f>'Raw Data'!F422</f>
        <v>1</v>
      </c>
      <c r="I422" s="18">
        <f>'Raw Data'!L422</f>
        <v>0</v>
      </c>
    </row>
    <row r="423" spans="1:9" x14ac:dyDescent="0.3">
      <c r="A423" s="17" t="str">
        <f>'Raw Data'!A423</f>
        <v xml:space="preserve">US Open </v>
      </c>
      <c r="B423" s="4" t="str">
        <f>'Raw Data'!B423</f>
        <v>Pablo Carreno Busta</v>
      </c>
      <c r="C423" s="4">
        <f>'Raw Data'!C423</f>
        <v>113</v>
      </c>
      <c r="D423" s="4">
        <f>'Raw Data'!D423</f>
        <v>0</v>
      </c>
      <c r="E423" s="4" t="str">
        <f>'Raw Data'!J423</f>
        <v>R128</v>
      </c>
      <c r="F423" s="4">
        <f>'Raw Data'!K423</f>
        <v>1</v>
      </c>
      <c r="G423" s="4" t="str">
        <f>'Raw Data'!E423</f>
        <v>R64</v>
      </c>
      <c r="H423" s="4">
        <f>'Raw Data'!F423</f>
        <v>2</v>
      </c>
      <c r="I423" s="18">
        <f>'Raw Data'!L423</f>
        <v>1</v>
      </c>
    </row>
    <row r="424" spans="1:9" x14ac:dyDescent="0.3">
      <c r="A424" s="17" t="str">
        <f>'Raw Data'!A424</f>
        <v xml:space="preserve">US Open </v>
      </c>
      <c r="B424" s="4" t="str">
        <f>'Raw Data'!B424</f>
        <v>Gabriel Diallo</v>
      </c>
      <c r="C424" s="4">
        <f>'Raw Data'!C424</f>
        <v>33</v>
      </c>
      <c r="D424" s="4">
        <f>'Raw Data'!D424</f>
        <v>31</v>
      </c>
      <c r="E424" s="4" t="str">
        <f>'Raw Data'!J424</f>
        <v>R64</v>
      </c>
      <c r="F424" s="4">
        <f>'Raw Data'!K424</f>
        <v>2</v>
      </c>
      <c r="G424" s="4" t="str">
        <f>'Raw Data'!E424</f>
        <v>R64</v>
      </c>
      <c r="H424" s="4">
        <f>'Raw Data'!F424</f>
        <v>2</v>
      </c>
      <c r="I424" s="18">
        <f>'Raw Data'!L424</f>
        <v>0</v>
      </c>
    </row>
    <row r="425" spans="1:9" x14ac:dyDescent="0.3">
      <c r="A425" s="17" t="str">
        <f>'Raw Data'!A425</f>
        <v xml:space="preserve">US Open </v>
      </c>
      <c r="B425" s="4" t="str">
        <f>'Raw Data'!B425</f>
        <v>Roberto Carballes Baena</v>
      </c>
      <c r="C425" s="4">
        <f>'Raw Data'!C425</f>
        <v>84</v>
      </c>
      <c r="D425" s="4">
        <f>'Raw Data'!D425</f>
        <v>0</v>
      </c>
      <c r="E425" s="4" t="str">
        <f>'Raw Data'!J425</f>
        <v>R128</v>
      </c>
      <c r="F425" s="4">
        <f>'Raw Data'!K425</f>
        <v>1</v>
      </c>
      <c r="G425" s="4" t="str">
        <f>'Raw Data'!E425</f>
        <v>R128</v>
      </c>
      <c r="H425" s="4">
        <f>'Raw Data'!F425</f>
        <v>1</v>
      </c>
      <c r="I425" s="18">
        <f>'Raw Data'!L425</f>
        <v>0</v>
      </c>
    </row>
    <row r="426" spans="1:9" x14ac:dyDescent="0.3">
      <c r="A426" s="17" t="str">
        <f>'Raw Data'!A426</f>
        <v xml:space="preserve">US Open </v>
      </c>
      <c r="B426" s="4" t="str">
        <f>'Raw Data'!B426</f>
        <v>Jaume Munar</v>
      </c>
      <c r="C426" s="4">
        <f>'Raw Data'!C426</f>
        <v>46</v>
      </c>
      <c r="D426" s="4">
        <f>'Raw Data'!D426</f>
        <v>0</v>
      </c>
      <c r="E426" s="4" t="str">
        <f>'Raw Data'!J426</f>
        <v>R64</v>
      </c>
      <c r="F426" s="4">
        <f>'Raw Data'!K426</f>
        <v>2</v>
      </c>
      <c r="G426" s="4" t="str">
        <f>'Raw Data'!E426</f>
        <v>R16</v>
      </c>
      <c r="H426" s="4">
        <f>'Raw Data'!F426</f>
        <v>4</v>
      </c>
      <c r="I426" s="18">
        <f>'Raw Data'!L426</f>
        <v>2</v>
      </c>
    </row>
    <row r="427" spans="1:9" x14ac:dyDescent="0.3">
      <c r="A427" s="17" t="str">
        <f>'Raw Data'!A427</f>
        <v xml:space="preserve">US Open </v>
      </c>
      <c r="B427" s="4" t="str">
        <f>'Raw Data'!B427</f>
        <v>Jaime Faria</v>
      </c>
      <c r="C427" s="4">
        <f>'Raw Data'!C427</f>
        <v>118</v>
      </c>
      <c r="D427" s="4">
        <f>'Raw Data'!D427</f>
        <v>0</v>
      </c>
      <c r="E427" s="4" t="str">
        <f>'Raw Data'!J427</f>
        <v>R128</v>
      </c>
      <c r="F427" s="4">
        <f>'Raw Data'!K427</f>
        <v>1</v>
      </c>
      <c r="G427" s="4" t="str">
        <f>'Raw Data'!E427</f>
        <v>R128</v>
      </c>
      <c r="H427" s="4">
        <f>'Raw Data'!F427</f>
        <v>1</v>
      </c>
      <c r="I427" s="18">
        <f>'Raw Data'!L427</f>
        <v>0</v>
      </c>
    </row>
    <row r="428" spans="1:9" x14ac:dyDescent="0.3">
      <c r="A428" s="17" t="str">
        <f>'Raw Data'!A428</f>
        <v xml:space="preserve">US Open </v>
      </c>
      <c r="B428" s="4" t="str">
        <f>'Raw Data'!B428</f>
        <v>Marcos Giron</v>
      </c>
      <c r="C428" s="4">
        <f>'Raw Data'!C428</f>
        <v>55</v>
      </c>
      <c r="D428" s="4">
        <f>'Raw Data'!D428</f>
        <v>0</v>
      </c>
      <c r="E428" s="4" t="str">
        <f>'Raw Data'!J428</f>
        <v>R64</v>
      </c>
      <c r="F428" s="4">
        <f>'Raw Data'!K428</f>
        <v>2</v>
      </c>
      <c r="G428" s="4" t="str">
        <f>'Raw Data'!E428</f>
        <v>R64</v>
      </c>
      <c r="H428" s="4">
        <f>'Raw Data'!F428</f>
        <v>2</v>
      </c>
      <c r="I428" s="18">
        <f>'Raw Data'!L428</f>
        <v>0</v>
      </c>
    </row>
    <row r="429" spans="1:9" x14ac:dyDescent="0.3">
      <c r="A429" s="17" t="str">
        <f>'Raw Data'!A429</f>
        <v xml:space="preserve">US Open </v>
      </c>
      <c r="B429" s="4" t="str">
        <f>'Raw Data'!B429</f>
        <v>Zizou Bergs</v>
      </c>
      <c r="C429" s="4">
        <f>'Raw Data'!C429</f>
        <v>49</v>
      </c>
      <c r="D429" s="4">
        <f>'Raw Data'!D429</f>
        <v>0</v>
      </c>
      <c r="E429" s="4" t="str">
        <f>'Raw Data'!J429</f>
        <v>R64</v>
      </c>
      <c r="F429" s="4">
        <f>'Raw Data'!K429</f>
        <v>2</v>
      </c>
      <c r="G429" s="4" t="str">
        <f>'Raw Data'!E429</f>
        <v>R32</v>
      </c>
      <c r="H429" s="4">
        <f>'Raw Data'!F429</f>
        <v>3</v>
      </c>
      <c r="I429" s="18">
        <f>'Raw Data'!L429</f>
        <v>1</v>
      </c>
    </row>
    <row r="430" spans="1:9" x14ac:dyDescent="0.3">
      <c r="A430" s="17" t="str">
        <f>'Raw Data'!A430</f>
        <v xml:space="preserve">US Open </v>
      </c>
      <c r="B430" s="4" t="str">
        <f>'Raw Data'!B430</f>
        <v>Chun Hsin Tseng</v>
      </c>
      <c r="C430" s="4">
        <f>'Raw Data'!C430</f>
        <v>119</v>
      </c>
      <c r="D430" s="4">
        <f>'Raw Data'!D430</f>
        <v>0</v>
      </c>
      <c r="E430" s="4" t="str">
        <f>'Raw Data'!J430</f>
        <v>R128</v>
      </c>
      <c r="F430" s="4">
        <f>'Raw Data'!K430</f>
        <v>1</v>
      </c>
      <c r="G430" s="4" t="str">
        <f>'Raw Data'!E430</f>
        <v>R128</v>
      </c>
      <c r="H430" s="4">
        <f>'Raw Data'!F430</f>
        <v>1</v>
      </c>
      <c r="I430" s="18">
        <f>'Raw Data'!L430</f>
        <v>0</v>
      </c>
    </row>
    <row r="431" spans="1:9" x14ac:dyDescent="0.3">
      <c r="A431" s="17" t="str">
        <f>'Raw Data'!A431</f>
        <v xml:space="preserve">US Open </v>
      </c>
      <c r="B431" s="4" t="str">
        <f>'Raw Data'!B431</f>
        <v>Christopher Oconnell</v>
      </c>
      <c r="C431" s="4">
        <f>'Raw Data'!C431</f>
        <v>79</v>
      </c>
      <c r="D431" s="4">
        <f>'Raw Data'!D431</f>
        <v>0</v>
      </c>
      <c r="E431" s="4" t="str">
        <f>'Raw Data'!J431</f>
        <v>R128</v>
      </c>
      <c r="F431" s="4">
        <f>'Raw Data'!K431</f>
        <v>1</v>
      </c>
      <c r="G431" s="4" t="str">
        <f>'Raw Data'!E431</f>
        <v>R128</v>
      </c>
      <c r="H431" s="4">
        <f>'Raw Data'!F431</f>
        <v>1</v>
      </c>
      <c r="I431" s="18">
        <f>'Raw Data'!L431</f>
        <v>0</v>
      </c>
    </row>
    <row r="432" spans="1:9" x14ac:dyDescent="0.3">
      <c r="A432" s="17" t="str">
        <f>'Raw Data'!A432</f>
        <v xml:space="preserve">US Open </v>
      </c>
      <c r="B432" s="4" t="str">
        <f>'Raw Data'!B432</f>
        <v>Jack Draper</v>
      </c>
      <c r="C432" s="4">
        <f>'Raw Data'!C432</f>
        <v>5</v>
      </c>
      <c r="D432" s="4">
        <f>'Raw Data'!D432</f>
        <v>5</v>
      </c>
      <c r="E432" s="4" t="str">
        <f>'Raw Data'!J432</f>
        <v>Quarter-final</v>
      </c>
      <c r="F432" s="4">
        <f>'Raw Data'!K432</f>
        <v>5</v>
      </c>
      <c r="G432" s="4" t="str">
        <f>'Raw Data'!E432</f>
        <v>R64</v>
      </c>
      <c r="H432" s="4">
        <f>'Raw Data'!F432</f>
        <v>2</v>
      </c>
      <c r="I432" s="18">
        <f>'Raw Data'!L432</f>
        <v>-3</v>
      </c>
    </row>
    <row r="433" spans="1:9" x14ac:dyDescent="0.3">
      <c r="A433" s="17" t="str">
        <f>'Raw Data'!A433</f>
        <v xml:space="preserve">US Open </v>
      </c>
      <c r="B433" s="4" t="str">
        <f>'Raw Data'!B433</f>
        <v>Federico Agustin Gomez</v>
      </c>
      <c r="C433" s="4">
        <f>'Raw Data'!C433</f>
        <v>206</v>
      </c>
      <c r="D433" s="4">
        <f>'Raw Data'!D433</f>
        <v>0</v>
      </c>
      <c r="E433" s="4" t="str">
        <f>'Raw Data'!J433</f>
        <v>R128</v>
      </c>
      <c r="F433" s="4">
        <f>'Raw Data'!K433</f>
        <v>1</v>
      </c>
      <c r="G433" s="4" t="str">
        <f>'Raw Data'!E433</f>
        <v>R128</v>
      </c>
      <c r="H433" s="4">
        <f>'Raw Data'!F433</f>
        <v>1</v>
      </c>
      <c r="I433" s="18">
        <f>'Raw Data'!L433</f>
        <v>0</v>
      </c>
    </row>
    <row r="434" spans="1:9" x14ac:dyDescent="0.3">
      <c r="A434" s="17" t="str">
        <f>'Raw Data'!A434</f>
        <v xml:space="preserve">US Open </v>
      </c>
      <c r="B434" s="4" t="str">
        <f>'Raw Data'!B434</f>
        <v>Yoshihito Nishioka</v>
      </c>
      <c r="C434" s="4">
        <f>'Raw Data'!C434</f>
        <v>149</v>
      </c>
      <c r="D434" s="4">
        <f>'Raw Data'!D434</f>
        <v>0</v>
      </c>
      <c r="E434" s="4" t="str">
        <f>'Raw Data'!J434</f>
        <v>R128</v>
      </c>
      <c r="F434" s="4">
        <f>'Raw Data'!K434</f>
        <v>1</v>
      </c>
      <c r="G434" s="4" t="str">
        <f>'Raw Data'!E434</f>
        <v>R128</v>
      </c>
      <c r="H434" s="4">
        <f>'Raw Data'!F434</f>
        <v>1</v>
      </c>
      <c r="I434" s="18">
        <f>'Raw Data'!L434</f>
        <v>0</v>
      </c>
    </row>
    <row r="435" spans="1:9" x14ac:dyDescent="0.3">
      <c r="A435" s="17" t="str">
        <f>'Raw Data'!A435</f>
        <v xml:space="preserve">US Open </v>
      </c>
      <c r="B435" s="4" t="str">
        <f>'Raw Data'!B435</f>
        <v>Alejandro Tabilo</v>
      </c>
      <c r="C435" s="4">
        <f>'Raw Data'!C435</f>
        <v>126</v>
      </c>
      <c r="D435" s="4">
        <f>'Raw Data'!D435</f>
        <v>0</v>
      </c>
      <c r="E435" s="4" t="str">
        <f>'Raw Data'!J435</f>
        <v>R128</v>
      </c>
      <c r="F435" s="4">
        <f>'Raw Data'!K435</f>
        <v>1</v>
      </c>
      <c r="G435" s="4" t="str">
        <f>'Raw Data'!E435</f>
        <v>R128</v>
      </c>
      <c r="H435" s="4">
        <f>'Raw Data'!F435</f>
        <v>1</v>
      </c>
      <c r="I435" s="18">
        <f>'Raw Data'!L435</f>
        <v>0</v>
      </c>
    </row>
    <row r="436" spans="1:9" x14ac:dyDescent="0.3">
      <c r="A436" s="17" t="str">
        <f>'Raw Data'!A436</f>
        <v xml:space="preserve">US Open </v>
      </c>
      <c r="B436" s="4" t="str">
        <f>'Raw Data'!B436</f>
        <v>Daniil Medvedev</v>
      </c>
      <c r="C436" s="4">
        <f>'Raw Data'!C436</f>
        <v>13</v>
      </c>
      <c r="D436" s="4">
        <f>'Raw Data'!D436</f>
        <v>13</v>
      </c>
      <c r="E436" s="4" t="str">
        <f>'Raw Data'!J436</f>
        <v>R16</v>
      </c>
      <c r="F436" s="4">
        <f>'Raw Data'!K436</f>
        <v>4</v>
      </c>
      <c r="G436" s="4" t="str">
        <f>'Raw Data'!E436</f>
        <v>R128</v>
      </c>
      <c r="H436" s="4">
        <f>'Raw Data'!F436</f>
        <v>1</v>
      </c>
      <c r="I436" s="18">
        <f>'Raw Data'!L436</f>
        <v>-3</v>
      </c>
    </row>
    <row r="437" spans="1:9" x14ac:dyDescent="0.3">
      <c r="A437" s="17" t="str">
        <f>'Raw Data'!A437</f>
        <v xml:space="preserve">US Open </v>
      </c>
      <c r="B437" s="4" t="str">
        <f>'Raw Data'!B437</f>
        <v>Jacob Fearnley</v>
      </c>
      <c r="C437" s="4">
        <f>'Raw Data'!C437</f>
        <v>59</v>
      </c>
      <c r="D437" s="4">
        <f>'Raw Data'!D437</f>
        <v>0</v>
      </c>
      <c r="E437" s="4" t="str">
        <f>'Raw Data'!J437</f>
        <v>R64</v>
      </c>
      <c r="F437" s="4">
        <f>'Raw Data'!K437</f>
        <v>2</v>
      </c>
      <c r="G437" s="4" t="str">
        <f>'Raw Data'!E437</f>
        <v>R64</v>
      </c>
      <c r="H437" s="4">
        <f>'Raw Data'!F437</f>
        <v>2</v>
      </c>
      <c r="I437" s="18">
        <f>'Raw Data'!L437</f>
        <v>0</v>
      </c>
    </row>
    <row r="438" spans="1:9" x14ac:dyDescent="0.3">
      <c r="A438" s="17" t="str">
        <f>'Raw Data'!A438</f>
        <v xml:space="preserve">US Open </v>
      </c>
      <c r="B438" s="4" t="str">
        <f>'Raw Data'!B438</f>
        <v>Borna Coric</v>
      </c>
      <c r="C438" s="4">
        <f>'Raw Data'!C438</f>
        <v>104</v>
      </c>
      <c r="D438" s="4">
        <f>'Raw Data'!D438</f>
        <v>0</v>
      </c>
      <c r="E438" s="4" t="str">
        <f>'Raw Data'!J438</f>
        <v>R128</v>
      </c>
      <c r="F438" s="4">
        <f>'Raw Data'!K438</f>
        <v>1</v>
      </c>
      <c r="G438" s="4" t="str">
        <f>'Raw Data'!E438</f>
        <v>R128</v>
      </c>
      <c r="H438" s="4">
        <f>'Raw Data'!F438</f>
        <v>1</v>
      </c>
      <c r="I438" s="18">
        <f>'Raw Data'!L438</f>
        <v>0</v>
      </c>
    </row>
    <row r="439" spans="1:9" x14ac:dyDescent="0.3">
      <c r="A439" s="17" t="str">
        <f>'Raw Data'!A439</f>
        <v xml:space="preserve">US Open </v>
      </c>
      <c r="B439" s="4" t="str">
        <f>'Raw Data'!B439</f>
        <v>Roman Safiullin</v>
      </c>
      <c r="C439" s="4">
        <f>'Raw Data'!C439</f>
        <v>90</v>
      </c>
      <c r="D439" s="4">
        <f>'Raw Data'!D439</f>
        <v>0</v>
      </c>
      <c r="E439" s="4" t="str">
        <f>'Raw Data'!J439</f>
        <v>R128</v>
      </c>
      <c r="F439" s="4">
        <f>'Raw Data'!K439</f>
        <v>1</v>
      </c>
      <c r="G439" s="4" t="str">
        <f>'Raw Data'!E439</f>
        <v>R64</v>
      </c>
      <c r="H439" s="4">
        <f>'Raw Data'!F439</f>
        <v>2</v>
      </c>
      <c r="I439" s="18">
        <f>'Raw Data'!L439</f>
        <v>1</v>
      </c>
    </row>
    <row r="440" spans="1:9" x14ac:dyDescent="0.3">
      <c r="A440" s="17" t="str">
        <f>'Raw Data'!A440</f>
        <v xml:space="preserve">US Open </v>
      </c>
      <c r="B440" s="4" t="str">
        <f>'Raw Data'!B440</f>
        <v>Jordan Thompson</v>
      </c>
      <c r="C440" s="4">
        <f>'Raw Data'!C440</f>
        <v>57</v>
      </c>
      <c r="D440" s="4">
        <f>'Raw Data'!D440</f>
        <v>0</v>
      </c>
      <c r="E440" s="4" t="str">
        <f>'Raw Data'!J440</f>
        <v>R64</v>
      </c>
      <c r="F440" s="4">
        <f>'Raw Data'!K440</f>
        <v>2</v>
      </c>
      <c r="G440" s="4" t="str">
        <f>'Raw Data'!E440</f>
        <v>R64</v>
      </c>
      <c r="H440" s="4">
        <f>'Raw Data'!F440</f>
        <v>2</v>
      </c>
      <c r="I440" s="18">
        <f>'Raw Data'!L440</f>
        <v>0</v>
      </c>
    </row>
    <row r="441" spans="1:9" x14ac:dyDescent="0.3">
      <c r="A441" s="17" t="str">
        <f>'Raw Data'!A441</f>
        <v xml:space="preserve">US Open </v>
      </c>
      <c r="B441" s="4" t="str">
        <f>'Raw Data'!B441</f>
        <v>Felix Auger Aliassime</v>
      </c>
      <c r="C441" s="4">
        <f>'Raw Data'!C441</f>
        <v>27</v>
      </c>
      <c r="D441" s="4">
        <f>'Raw Data'!D441</f>
        <v>25</v>
      </c>
      <c r="E441" s="4" t="str">
        <f>'Raw Data'!J441</f>
        <v>R32</v>
      </c>
      <c r="F441" s="4">
        <f>'Raw Data'!K441</f>
        <v>3</v>
      </c>
      <c r="G441" s="4" t="str">
        <f>'Raw Data'!E441</f>
        <v>Semi-final</v>
      </c>
      <c r="H441" s="4">
        <f>'Raw Data'!F441</f>
        <v>6</v>
      </c>
      <c r="I441" s="18">
        <f>'Raw Data'!L441</f>
        <v>3</v>
      </c>
    </row>
    <row r="442" spans="1:9" x14ac:dyDescent="0.3">
      <c r="A442" s="17" t="str">
        <f>'Raw Data'!A442</f>
        <v xml:space="preserve">US Open </v>
      </c>
      <c r="B442" s="4" t="str">
        <f>'Raw Data'!B442</f>
        <v>Mackenzie Mcdonald</v>
      </c>
      <c r="C442" s="4">
        <f>'Raw Data'!C442</f>
        <v>102</v>
      </c>
      <c r="D442" s="4">
        <f>'Raw Data'!D442</f>
        <v>0</v>
      </c>
      <c r="E442" s="4" t="str">
        <f>'Raw Data'!J442</f>
        <v>R128</v>
      </c>
      <c r="F442" s="4">
        <f>'Raw Data'!K442</f>
        <v>1</v>
      </c>
      <c r="G442" s="4" t="str">
        <f>'Raw Data'!E442</f>
        <v>R128</v>
      </c>
      <c r="H442" s="4">
        <f>'Raw Data'!F442</f>
        <v>1</v>
      </c>
      <c r="I442" s="18">
        <f>'Raw Data'!L442</f>
        <v>0</v>
      </c>
    </row>
    <row r="443" spans="1:9" x14ac:dyDescent="0.3">
      <c r="A443" s="17" t="str">
        <f>'Raw Data'!A443</f>
        <v xml:space="preserve">US Open </v>
      </c>
      <c r="B443" s="4" t="str">
        <f>'Raw Data'!B443</f>
        <v>Billy Harris</v>
      </c>
      <c r="C443" s="4">
        <f>'Raw Data'!C443</f>
        <v>151</v>
      </c>
      <c r="D443" s="4">
        <f>'Raw Data'!D443</f>
        <v>0</v>
      </c>
      <c r="E443" s="4" t="str">
        <f>'Raw Data'!J443</f>
        <v>R128</v>
      </c>
      <c r="F443" s="4">
        <f>'Raw Data'!K443</f>
        <v>1</v>
      </c>
      <c r="G443" s="4" t="str">
        <f>'Raw Data'!E443</f>
        <v>R128</v>
      </c>
      <c r="H443" s="4">
        <f>'Raw Data'!F443</f>
        <v>1</v>
      </c>
      <c r="I443" s="18">
        <f>'Raw Data'!L443</f>
        <v>0</v>
      </c>
    </row>
    <row r="444" spans="1:9" x14ac:dyDescent="0.3">
      <c r="A444" s="17" t="str">
        <f>'Raw Data'!A444</f>
        <v xml:space="preserve">US Open </v>
      </c>
      <c r="B444" s="4" t="str">
        <f>'Raw Data'!B444</f>
        <v>Adam Walton</v>
      </c>
      <c r="C444" s="4">
        <f>'Raw Data'!C444</f>
        <v>82</v>
      </c>
      <c r="D444" s="4">
        <f>'Raw Data'!D444</f>
        <v>0</v>
      </c>
      <c r="E444" s="4" t="str">
        <f>'Raw Data'!J444</f>
        <v>R128</v>
      </c>
      <c r="F444" s="4">
        <f>'Raw Data'!K444</f>
        <v>1</v>
      </c>
      <c r="G444" s="4" t="str">
        <f>'Raw Data'!E444</f>
        <v>R64</v>
      </c>
      <c r="H444" s="4">
        <f>'Raw Data'!F444</f>
        <v>2</v>
      </c>
      <c r="I444" s="18">
        <f>'Raw Data'!L444</f>
        <v>1</v>
      </c>
    </row>
    <row r="445" spans="1:9" x14ac:dyDescent="0.3">
      <c r="A445" s="17" t="str">
        <f>'Raw Data'!A445</f>
        <v xml:space="preserve">US Open </v>
      </c>
      <c r="B445" s="4" t="str">
        <f>'Raw Data'!B445</f>
        <v>Ugo Humbert</v>
      </c>
      <c r="C445" s="4">
        <f>'Raw Data'!C445</f>
        <v>23</v>
      </c>
      <c r="D445" s="4">
        <f>'Raw Data'!D445</f>
        <v>22</v>
      </c>
      <c r="E445" s="4" t="str">
        <f>'Raw Data'!J445</f>
        <v>R32</v>
      </c>
      <c r="F445" s="4">
        <f>'Raw Data'!K445</f>
        <v>3</v>
      </c>
      <c r="G445" s="4" t="str">
        <f>'Raw Data'!E445</f>
        <v>R128</v>
      </c>
      <c r="H445" s="4">
        <f>'Raw Data'!F445</f>
        <v>1</v>
      </c>
      <c r="I445" s="18">
        <f>'Raw Data'!L445</f>
        <v>-2</v>
      </c>
    </row>
    <row r="446" spans="1:9" x14ac:dyDescent="0.3">
      <c r="A446" s="17" t="str">
        <f>'Raw Data'!A446</f>
        <v xml:space="preserve">US Open </v>
      </c>
      <c r="B446" s="4" t="str">
        <f>'Raw Data'!B446</f>
        <v>Karen Khachanov</v>
      </c>
      <c r="C446" s="4">
        <f>'Raw Data'!C446</f>
        <v>9</v>
      </c>
      <c r="D446" s="4">
        <f>'Raw Data'!D446</f>
        <v>9</v>
      </c>
      <c r="E446" s="4" t="str">
        <f>'Raw Data'!J446</f>
        <v>R16</v>
      </c>
      <c r="F446" s="4">
        <f>'Raw Data'!K446</f>
        <v>4</v>
      </c>
      <c r="G446" s="4" t="str">
        <f>'Raw Data'!E446</f>
        <v>R64</v>
      </c>
      <c r="H446" s="4">
        <f>'Raw Data'!F446</f>
        <v>2</v>
      </c>
      <c r="I446" s="18">
        <f>'Raw Data'!L446</f>
        <v>-2</v>
      </c>
    </row>
    <row r="447" spans="1:9" x14ac:dyDescent="0.3">
      <c r="A447" s="17" t="str">
        <f>'Raw Data'!A447</f>
        <v xml:space="preserve">US Open </v>
      </c>
      <c r="B447" s="4" t="str">
        <f>'Raw Data'!B447</f>
        <v>Coleman Wong</v>
      </c>
      <c r="C447" s="4">
        <f>'Raw Data'!C447</f>
        <v>174</v>
      </c>
      <c r="D447" s="4">
        <f>'Raw Data'!D447</f>
        <v>0</v>
      </c>
      <c r="E447" s="4" t="str">
        <f>'Raw Data'!J447</f>
        <v>R128</v>
      </c>
      <c r="F447" s="4">
        <f>'Raw Data'!K447</f>
        <v>1</v>
      </c>
      <c r="G447" s="4" t="str">
        <f>'Raw Data'!E447</f>
        <v>R32</v>
      </c>
      <c r="H447" s="4">
        <f>'Raw Data'!F447</f>
        <v>3</v>
      </c>
      <c r="I447" s="18">
        <f>'Raw Data'!L447</f>
        <v>2</v>
      </c>
    </row>
    <row r="448" spans="1:9" x14ac:dyDescent="0.3">
      <c r="A448" s="17" t="str">
        <f>'Raw Data'!A448</f>
        <v xml:space="preserve">US Open </v>
      </c>
      <c r="B448" s="4" t="str">
        <f>'Raw Data'!B448</f>
        <v>Aleksandar Kovacevic</v>
      </c>
      <c r="C448" s="4">
        <f>'Raw Data'!C448</f>
        <v>71</v>
      </c>
      <c r="D448" s="4">
        <f>'Raw Data'!D448</f>
        <v>0</v>
      </c>
      <c r="E448" s="4" t="str">
        <f>'Raw Data'!J448</f>
        <v>R128</v>
      </c>
      <c r="F448" s="4">
        <f>'Raw Data'!K448</f>
        <v>1</v>
      </c>
      <c r="G448" s="4" t="str">
        <f>'Raw Data'!E448</f>
        <v>R128</v>
      </c>
      <c r="H448" s="4">
        <f>'Raw Data'!F448</f>
        <v>1</v>
      </c>
      <c r="I448" s="18">
        <f>'Raw Data'!L448</f>
        <v>0</v>
      </c>
    </row>
    <row r="449" spans="1:9" x14ac:dyDescent="0.3">
      <c r="A449" s="17" t="str">
        <f>'Raw Data'!A449</f>
        <v xml:space="preserve">US Open </v>
      </c>
      <c r="B449" s="4" t="str">
        <f>'Raw Data'!B449</f>
        <v>Kamil Majchrzak</v>
      </c>
      <c r="C449" s="4">
        <f>'Raw Data'!C449</f>
        <v>78</v>
      </c>
      <c r="D449" s="4">
        <f>'Raw Data'!D449</f>
        <v>0</v>
      </c>
      <c r="E449" s="4" t="str">
        <f>'Raw Data'!J449</f>
        <v>R128</v>
      </c>
      <c r="F449" s="4">
        <f>'Raw Data'!K449</f>
        <v>1</v>
      </c>
      <c r="G449" s="4" t="str">
        <f>'Raw Data'!E449</f>
        <v>R32</v>
      </c>
      <c r="H449" s="4">
        <f>'Raw Data'!F449</f>
        <v>3</v>
      </c>
      <c r="I449" s="18">
        <f>'Raw Data'!L449</f>
        <v>2</v>
      </c>
    </row>
    <row r="450" spans="1:9" x14ac:dyDescent="0.3">
      <c r="A450" s="17" t="str">
        <f>'Raw Data'!A450</f>
        <v xml:space="preserve">US Open </v>
      </c>
      <c r="B450" s="4" t="str">
        <f>'Raw Data'!B450</f>
        <v>Tristan Boyer</v>
      </c>
      <c r="C450" s="4">
        <f>'Raw Data'!C450</f>
        <v>114</v>
      </c>
      <c r="D450" s="4">
        <f>'Raw Data'!D450</f>
        <v>0</v>
      </c>
      <c r="E450" s="4" t="str">
        <f>'Raw Data'!J450</f>
        <v>R128</v>
      </c>
      <c r="F450" s="4">
        <f>'Raw Data'!K450</f>
        <v>1</v>
      </c>
      <c r="G450" s="4" t="str">
        <f>'Raw Data'!E450</f>
        <v>R64</v>
      </c>
      <c r="H450" s="4">
        <f>'Raw Data'!F450</f>
        <v>2</v>
      </c>
      <c r="I450" s="18">
        <f>'Raw Data'!L450</f>
        <v>1</v>
      </c>
    </row>
    <row r="451" spans="1:9" x14ac:dyDescent="0.3">
      <c r="A451" s="17" t="str">
        <f>'Raw Data'!A451</f>
        <v xml:space="preserve">US Open </v>
      </c>
      <c r="B451" s="4" t="str">
        <f>'Raw Data'!B451</f>
        <v>Nicolas Jarry</v>
      </c>
      <c r="C451" s="4">
        <f>'Raw Data'!C451</f>
        <v>103</v>
      </c>
      <c r="D451" s="4">
        <f>'Raw Data'!D451</f>
        <v>0</v>
      </c>
      <c r="E451" s="4" t="str">
        <f>'Raw Data'!J451</f>
        <v>R128</v>
      </c>
      <c r="F451" s="4">
        <f>'Raw Data'!K451</f>
        <v>1</v>
      </c>
      <c r="G451" s="4" t="str">
        <f>'Raw Data'!E451</f>
        <v>R128</v>
      </c>
      <c r="H451" s="4">
        <f>'Raw Data'!F451</f>
        <v>1</v>
      </c>
      <c r="I451" s="18">
        <f>'Raw Data'!L451</f>
        <v>0</v>
      </c>
    </row>
    <row r="452" spans="1:9" x14ac:dyDescent="0.3">
      <c r="A452" s="17" t="str">
        <f>'Raw Data'!A452</f>
        <v xml:space="preserve">US Open </v>
      </c>
      <c r="B452" s="4" t="str">
        <f>'Raw Data'!B452</f>
        <v>Andrey Rublev</v>
      </c>
      <c r="C452" s="4">
        <f>'Raw Data'!C452</f>
        <v>15</v>
      </c>
      <c r="D452" s="4">
        <f>'Raw Data'!D452</f>
        <v>15</v>
      </c>
      <c r="E452" s="4" t="str">
        <f>'Raw Data'!J452</f>
        <v>R16</v>
      </c>
      <c r="F452" s="4">
        <f>'Raw Data'!K452</f>
        <v>4</v>
      </c>
      <c r="G452" s="4" t="str">
        <f>'Raw Data'!E452</f>
        <v>R16</v>
      </c>
      <c r="H452" s="4">
        <f>'Raw Data'!F452</f>
        <v>4</v>
      </c>
      <c r="I452" s="18">
        <f>'Raw Data'!L452</f>
        <v>0</v>
      </c>
    </row>
    <row r="453" spans="1:9" x14ac:dyDescent="0.3">
      <c r="A453" s="17" t="str">
        <f>'Raw Data'!A453</f>
        <v xml:space="preserve">US Open </v>
      </c>
      <c r="B453" s="4" t="str">
        <f>'Raw Data'!B453</f>
        <v>Cameron Norrie</v>
      </c>
      <c r="C453" s="4">
        <f>'Raw Data'!C453</f>
        <v>36</v>
      </c>
      <c r="D453" s="4">
        <f>'Raw Data'!D453</f>
        <v>0</v>
      </c>
      <c r="E453" s="4" t="str">
        <f>'Raw Data'!J453</f>
        <v>R64</v>
      </c>
      <c r="F453" s="4">
        <f>'Raw Data'!K453</f>
        <v>2</v>
      </c>
      <c r="G453" s="4" t="str">
        <f>'Raw Data'!E453</f>
        <v>R32</v>
      </c>
      <c r="H453" s="4">
        <f>'Raw Data'!F453</f>
        <v>3</v>
      </c>
      <c r="I453" s="18">
        <f>'Raw Data'!L453</f>
        <v>1</v>
      </c>
    </row>
    <row r="454" spans="1:9" x14ac:dyDescent="0.3">
      <c r="A454" s="17" t="str">
        <f>'Raw Data'!A454</f>
        <v xml:space="preserve">US Open </v>
      </c>
      <c r="B454" s="4" t="str">
        <f>'Raw Data'!B454</f>
        <v>Dino Prizmic</v>
      </c>
      <c r="C454" s="4">
        <f>'Raw Data'!C454</f>
        <v>124</v>
      </c>
      <c r="D454" s="4">
        <f>'Raw Data'!D454</f>
        <v>0</v>
      </c>
      <c r="E454" s="4" t="str">
        <f>'Raw Data'!J454</f>
        <v>R128</v>
      </c>
      <c r="F454" s="4">
        <f>'Raw Data'!K454</f>
        <v>1</v>
      </c>
      <c r="G454" s="4" t="str">
        <f>'Raw Data'!E454</f>
        <v>R128</v>
      </c>
      <c r="H454" s="4">
        <f>'Raw Data'!F454</f>
        <v>1</v>
      </c>
      <c r="I454" s="18">
        <f>'Raw Data'!L454</f>
        <v>0</v>
      </c>
    </row>
    <row r="455" spans="1:9" x14ac:dyDescent="0.3">
      <c r="A455" s="17" t="str">
        <f>'Raw Data'!A455</f>
        <v xml:space="preserve">US Open </v>
      </c>
      <c r="B455" s="4" t="str">
        <f>'Raw Data'!B455</f>
        <v>Botic Van De Zandschulp</v>
      </c>
      <c r="C455" s="4">
        <f>'Raw Data'!C455</f>
        <v>92</v>
      </c>
      <c r="D455" s="4">
        <f>'Raw Data'!D455</f>
        <v>0</v>
      </c>
      <c r="E455" s="4" t="str">
        <f>'Raw Data'!J455</f>
        <v>R128</v>
      </c>
      <c r="F455" s="4">
        <f>'Raw Data'!K455</f>
        <v>1</v>
      </c>
      <c r="G455" s="4" t="str">
        <f>'Raw Data'!E455</f>
        <v>R128</v>
      </c>
      <c r="H455" s="4">
        <f>'Raw Data'!F455</f>
        <v>1</v>
      </c>
      <c r="I455" s="18">
        <f>'Raw Data'!L455</f>
        <v>0</v>
      </c>
    </row>
    <row r="456" spans="1:9" x14ac:dyDescent="0.3">
      <c r="A456" s="17" t="str">
        <f>'Raw Data'!A456</f>
        <v xml:space="preserve">US Open </v>
      </c>
      <c r="B456" s="4" t="str">
        <f>'Raw Data'!B456</f>
        <v>Nishesh Basavareddy</v>
      </c>
      <c r="C456" s="4">
        <f>'Raw Data'!C456</f>
        <v>106</v>
      </c>
      <c r="D456" s="4">
        <f>'Raw Data'!D456</f>
        <v>0</v>
      </c>
      <c r="E456" s="4" t="str">
        <f>'Raw Data'!J456</f>
        <v>R128</v>
      </c>
      <c r="F456" s="4">
        <f>'Raw Data'!K456</f>
        <v>1</v>
      </c>
      <c r="G456" s="4" t="str">
        <f>'Raw Data'!E456</f>
        <v>R128</v>
      </c>
      <c r="H456" s="4">
        <f>'Raw Data'!F456</f>
        <v>1</v>
      </c>
      <c r="I456" s="18">
        <f>'Raw Data'!L456</f>
        <v>0</v>
      </c>
    </row>
    <row r="457" spans="1:9" x14ac:dyDescent="0.3">
      <c r="A457" s="17" t="str">
        <f>'Raw Data'!A457</f>
        <v xml:space="preserve">US Open </v>
      </c>
      <c r="B457" s="4" t="str">
        <f>'Raw Data'!B457</f>
        <v>Daniel Elahi Galan</v>
      </c>
      <c r="C457" s="4">
        <f>'Raw Data'!C457</f>
        <v>132</v>
      </c>
      <c r="D457" s="4">
        <f>'Raw Data'!D457</f>
        <v>0</v>
      </c>
      <c r="E457" s="4" t="str">
        <f>'Raw Data'!J457</f>
        <v>R128</v>
      </c>
      <c r="F457" s="4">
        <f>'Raw Data'!K457</f>
        <v>1</v>
      </c>
      <c r="G457" s="4" t="str">
        <f>'Raw Data'!E457</f>
        <v>R128</v>
      </c>
      <c r="H457" s="4">
        <f>'Raw Data'!F457</f>
        <v>1</v>
      </c>
      <c r="I457" s="18">
        <f>'Raw Data'!L457</f>
        <v>0</v>
      </c>
    </row>
    <row r="458" spans="1:9" x14ac:dyDescent="0.3">
      <c r="A458" s="17" t="str">
        <f>'Raw Data'!A458</f>
        <v xml:space="preserve">US Open </v>
      </c>
      <c r="B458" s="4" t="str">
        <f>'Raw Data'!B458</f>
        <v>Leandro Riedi</v>
      </c>
      <c r="C458" s="4">
        <f>'Raw Data'!C458</f>
        <v>436</v>
      </c>
      <c r="D458" s="4">
        <f>'Raw Data'!D458</f>
        <v>0</v>
      </c>
      <c r="E458" s="4" t="str">
        <f>'Raw Data'!J458</f>
        <v>R128</v>
      </c>
      <c r="F458" s="4">
        <f>'Raw Data'!K458</f>
        <v>1</v>
      </c>
      <c r="G458" s="4" t="str">
        <f>'Raw Data'!E458</f>
        <v>R16</v>
      </c>
      <c r="H458" s="4">
        <f>'Raw Data'!F458</f>
        <v>4</v>
      </c>
      <c r="I458" s="18">
        <f>'Raw Data'!L458</f>
        <v>3</v>
      </c>
    </row>
    <row r="459" spans="1:9" x14ac:dyDescent="0.3">
      <c r="A459" s="17" t="str">
        <f>'Raw Data'!A459</f>
        <v xml:space="preserve">US Open </v>
      </c>
      <c r="B459" s="4" t="str">
        <f>'Raw Data'!B459</f>
        <v>Pedro Martinez</v>
      </c>
      <c r="C459" s="4">
        <f>'Raw Data'!C459</f>
        <v>64</v>
      </c>
      <c r="D459" s="4">
        <f>'Raw Data'!D459</f>
        <v>0</v>
      </c>
      <c r="E459" s="4" t="str">
        <f>'Raw Data'!J459</f>
        <v>R64</v>
      </c>
      <c r="F459" s="4">
        <f>'Raw Data'!K459</f>
        <v>2</v>
      </c>
      <c r="G459" s="4" t="str">
        <f>'Raw Data'!E459</f>
        <v>R128</v>
      </c>
      <c r="H459" s="4">
        <f>'Raw Data'!F459</f>
        <v>1</v>
      </c>
      <c r="I459" s="18">
        <f>'Raw Data'!L459</f>
        <v>-1</v>
      </c>
    </row>
    <row r="460" spans="1:9" x14ac:dyDescent="0.3">
      <c r="A460" s="17" t="str">
        <f>'Raw Data'!A460</f>
        <v xml:space="preserve">US Open </v>
      </c>
      <c r="B460" s="4" t="str">
        <f>'Raw Data'!B460</f>
        <v>Francisco Cerundolo</v>
      </c>
      <c r="C460" s="4">
        <f>'Raw Data'!C460</f>
        <v>19</v>
      </c>
      <c r="D460" s="4">
        <f>'Raw Data'!D460</f>
        <v>19</v>
      </c>
      <c r="E460" s="4" t="str">
        <f>'Raw Data'!J460</f>
        <v>R32</v>
      </c>
      <c r="F460" s="4">
        <f>'Raw Data'!K460</f>
        <v>3</v>
      </c>
      <c r="G460" s="4" t="str">
        <f>'Raw Data'!E460</f>
        <v>R64</v>
      </c>
      <c r="H460" s="4">
        <f>'Raw Data'!F460</f>
        <v>2</v>
      </c>
      <c r="I460" s="18">
        <f>'Raw Data'!L460</f>
        <v>-1</v>
      </c>
    </row>
    <row r="461" spans="1:9" x14ac:dyDescent="0.3">
      <c r="A461" s="17" t="str">
        <f>'Raw Data'!A461</f>
        <v xml:space="preserve">US Open </v>
      </c>
      <c r="B461" s="4" t="str">
        <f>'Raw Data'!B461</f>
        <v>Matteo Arnaldi</v>
      </c>
      <c r="C461" s="4">
        <f>'Raw Data'!C461</f>
        <v>62</v>
      </c>
      <c r="D461" s="4">
        <f>'Raw Data'!D461</f>
        <v>0</v>
      </c>
      <c r="E461" s="4" t="str">
        <f>'Raw Data'!J461</f>
        <v>R64</v>
      </c>
      <c r="F461" s="4">
        <f>'Raw Data'!K461</f>
        <v>2</v>
      </c>
      <c r="G461" s="4" t="str">
        <f>'Raw Data'!E461</f>
        <v>R128</v>
      </c>
      <c r="H461" s="4">
        <f>'Raw Data'!F461</f>
        <v>1</v>
      </c>
      <c r="I461" s="18">
        <f>'Raw Data'!L461</f>
        <v>-1</v>
      </c>
    </row>
    <row r="462" spans="1:9" x14ac:dyDescent="0.3">
      <c r="A462" s="17" t="str">
        <f>'Raw Data'!A462</f>
        <v xml:space="preserve">US Open </v>
      </c>
      <c r="B462" s="4" t="str">
        <f>'Raw Data'!B462</f>
        <v>Sebastian Ofner</v>
      </c>
      <c r="C462" s="4">
        <f>'Raw Data'!C462</f>
        <v>141</v>
      </c>
      <c r="D462" s="4">
        <f>'Raw Data'!D462</f>
        <v>0</v>
      </c>
      <c r="E462" s="4" t="str">
        <f>'Raw Data'!J462</f>
        <v>R128</v>
      </c>
      <c r="F462" s="4">
        <f>'Raw Data'!K462</f>
        <v>1</v>
      </c>
      <c r="G462" s="4" t="str">
        <f>'Raw Data'!E462</f>
        <v>R128</v>
      </c>
      <c r="H462" s="4">
        <f>'Raw Data'!F462</f>
        <v>1</v>
      </c>
      <c r="I462" s="18">
        <f>'Raw Data'!L462</f>
        <v>0</v>
      </c>
    </row>
    <row r="463" spans="1:9" x14ac:dyDescent="0.3">
      <c r="A463" s="17" t="str">
        <f>'Raw Data'!A463</f>
        <v xml:space="preserve">US Open </v>
      </c>
      <c r="B463" s="4" t="str">
        <f>'Raw Data'!B463</f>
        <v>Stefanos Tsitsipas</v>
      </c>
      <c r="C463" s="4">
        <f>'Raw Data'!C463</f>
        <v>28</v>
      </c>
      <c r="D463" s="4">
        <f>'Raw Data'!D463</f>
        <v>26</v>
      </c>
      <c r="E463" s="4" t="str">
        <f>'Raw Data'!J463</f>
        <v>R32</v>
      </c>
      <c r="F463" s="4">
        <f>'Raw Data'!K463</f>
        <v>3</v>
      </c>
      <c r="G463" s="4" t="str">
        <f>'Raw Data'!E463</f>
        <v>R64</v>
      </c>
      <c r="H463" s="4">
        <f>'Raw Data'!F463</f>
        <v>2</v>
      </c>
      <c r="I463" s="18">
        <f>'Raw Data'!L463</f>
        <v>-1</v>
      </c>
    </row>
    <row r="464" spans="1:9" x14ac:dyDescent="0.3">
      <c r="A464" s="17" t="str">
        <f>'Raw Data'!A464</f>
        <v xml:space="preserve">US Open </v>
      </c>
      <c r="B464" s="4" t="str">
        <f>'Raw Data'!B464</f>
        <v>Alexandre Muller</v>
      </c>
      <c r="C464" s="4">
        <f>'Raw Data'!C464</f>
        <v>38</v>
      </c>
      <c r="D464" s="4">
        <f>'Raw Data'!D464</f>
        <v>0</v>
      </c>
      <c r="E464" s="4" t="str">
        <f>'Raw Data'!J464</f>
        <v>R64</v>
      </c>
      <c r="F464" s="4">
        <f>'Raw Data'!K464</f>
        <v>2</v>
      </c>
      <c r="G464" s="4" t="str">
        <f>'Raw Data'!E464</f>
        <v>R128</v>
      </c>
      <c r="H464" s="4">
        <f>'Raw Data'!F464</f>
        <v>1</v>
      </c>
      <c r="I464" s="18">
        <f>'Raw Data'!L464</f>
        <v>-1</v>
      </c>
    </row>
    <row r="465" spans="1:9" x14ac:dyDescent="0.3">
      <c r="A465" s="17" t="str">
        <f>'Raw Data'!A465</f>
        <v xml:space="preserve">US Open </v>
      </c>
      <c r="B465" s="4" t="str">
        <f>'Raw Data'!B465</f>
        <v>Daniel Altmaier</v>
      </c>
      <c r="C465" s="4">
        <f>'Raw Data'!C465</f>
        <v>56</v>
      </c>
      <c r="D465" s="4">
        <f>'Raw Data'!D465</f>
        <v>0</v>
      </c>
      <c r="E465" s="4" t="str">
        <f>'Raw Data'!J465</f>
        <v>R64</v>
      </c>
      <c r="F465" s="4">
        <f>'Raw Data'!K465</f>
        <v>2</v>
      </c>
      <c r="G465" s="4" t="str">
        <f>'Raw Data'!E465</f>
        <v>R32</v>
      </c>
      <c r="H465" s="4">
        <f>'Raw Data'!F465</f>
        <v>3</v>
      </c>
      <c r="I465" s="18">
        <f>'Raw Data'!L465</f>
        <v>1</v>
      </c>
    </row>
    <row r="466" spans="1:9" x14ac:dyDescent="0.3">
      <c r="A466" s="17" t="str">
        <f>'Raw Data'!A466</f>
        <v xml:space="preserve">US Open </v>
      </c>
      <c r="B466" s="4" t="str">
        <f>'Raw Data'!B466</f>
        <v>Reilly Opelka</v>
      </c>
      <c r="C466" s="4">
        <f>'Raw Data'!C466</f>
        <v>66</v>
      </c>
      <c r="D466" s="4">
        <f>'Raw Data'!D466</f>
        <v>0</v>
      </c>
      <c r="E466" s="4" t="str">
        <f>'Raw Data'!J466</f>
        <v>R128</v>
      </c>
      <c r="F466" s="4">
        <f>'Raw Data'!K466</f>
        <v>1</v>
      </c>
      <c r="G466" s="4" t="str">
        <f>'Raw Data'!E466</f>
        <v>R128</v>
      </c>
      <c r="H466" s="4">
        <f>'Raw Data'!F466</f>
        <v>1</v>
      </c>
      <c r="I466" s="18">
        <f>'Raw Data'!L466</f>
        <v>0</v>
      </c>
    </row>
    <row r="467" spans="1:9" x14ac:dyDescent="0.3">
      <c r="A467" s="17" t="str">
        <f>'Raw Data'!A467</f>
        <v xml:space="preserve">US Open </v>
      </c>
      <c r="B467" s="4" t="str">
        <f>'Raw Data'!B467</f>
        <v>Hamad Medjedovic</v>
      </c>
      <c r="C467" s="4">
        <f>'Raw Data'!C467</f>
        <v>65</v>
      </c>
      <c r="D467" s="4">
        <f>'Raw Data'!D467</f>
        <v>0</v>
      </c>
      <c r="E467" s="4" t="str">
        <f>'Raw Data'!J467</f>
        <v>R128</v>
      </c>
      <c r="F467" s="4">
        <f>'Raw Data'!K467</f>
        <v>1</v>
      </c>
      <c r="G467" s="4" t="str">
        <f>'Raw Data'!E467</f>
        <v>R128</v>
      </c>
      <c r="H467" s="4">
        <f>'Raw Data'!F467</f>
        <v>1</v>
      </c>
      <c r="I467" s="18">
        <f>'Raw Data'!L467</f>
        <v>0</v>
      </c>
    </row>
    <row r="468" spans="1:9" x14ac:dyDescent="0.3">
      <c r="A468" s="17" t="str">
        <f>'Raw Data'!A468</f>
        <v xml:space="preserve">US Open </v>
      </c>
      <c r="B468" s="4" t="str">
        <f>'Raw Data'!B468</f>
        <v>Shintaro Mochizuki</v>
      </c>
      <c r="C468" s="4">
        <f>'Raw Data'!C468</f>
        <v>112</v>
      </c>
      <c r="D468" s="4">
        <f>'Raw Data'!D468</f>
        <v>0</v>
      </c>
      <c r="E468" s="4" t="str">
        <f>'Raw Data'!J468</f>
        <v>R128</v>
      </c>
      <c r="F468" s="4">
        <f>'Raw Data'!K468</f>
        <v>1</v>
      </c>
      <c r="G468" s="4" t="str">
        <f>'Raw Data'!E468</f>
        <v>R64</v>
      </c>
      <c r="H468" s="4">
        <f>'Raw Data'!F468</f>
        <v>2</v>
      </c>
      <c r="I468" s="18">
        <f>'Raw Data'!L468</f>
        <v>1</v>
      </c>
    </row>
    <row r="469" spans="1:9" x14ac:dyDescent="0.3">
      <c r="A469" s="17" t="str">
        <f>'Raw Data'!A469</f>
        <v xml:space="preserve">US Open </v>
      </c>
      <c r="B469" s="4" t="str">
        <f>'Raw Data'!B469</f>
        <v>Hugo Gaston</v>
      </c>
      <c r="C469" s="4">
        <f>'Raw Data'!C469</f>
        <v>125</v>
      </c>
      <c r="D469" s="4">
        <f>'Raw Data'!D469</f>
        <v>0</v>
      </c>
      <c r="E469" s="4" t="str">
        <f>'Raw Data'!J469</f>
        <v>R128</v>
      </c>
      <c r="F469" s="4">
        <f>'Raw Data'!K469</f>
        <v>1</v>
      </c>
      <c r="G469" s="4" t="str">
        <f>'Raw Data'!E469</f>
        <v>R128</v>
      </c>
      <c r="H469" s="4">
        <f>'Raw Data'!F469</f>
        <v>1</v>
      </c>
      <c r="I469" s="18">
        <f>'Raw Data'!L469</f>
        <v>0</v>
      </c>
    </row>
    <row r="470" spans="1:9" x14ac:dyDescent="0.3">
      <c r="A470" s="17" t="str">
        <f>'Raw Data'!A470</f>
        <v xml:space="preserve">US Open </v>
      </c>
      <c r="B470" s="4" t="str">
        <f>'Raw Data'!B470</f>
        <v>Alex De Minaur</v>
      </c>
      <c r="C470" s="4">
        <f>'Raw Data'!C470</f>
        <v>8</v>
      </c>
      <c r="D470" s="4">
        <f>'Raw Data'!D470</f>
        <v>8</v>
      </c>
      <c r="E470" s="4" t="str">
        <f>'Raw Data'!J470</f>
        <v>Quarter-final</v>
      </c>
      <c r="F470" s="4">
        <f>'Raw Data'!K470</f>
        <v>5</v>
      </c>
      <c r="G470" s="4" t="str">
        <f>'Raw Data'!E470</f>
        <v>Quarter-final</v>
      </c>
      <c r="H470" s="4">
        <f>'Raw Data'!F470</f>
        <v>5</v>
      </c>
      <c r="I470" s="18">
        <f>'Raw Data'!L470</f>
        <v>0</v>
      </c>
    </row>
    <row r="471" spans="1:9" x14ac:dyDescent="0.3">
      <c r="A471" s="17" t="str">
        <f>'Raw Data'!A471</f>
        <v xml:space="preserve">US Open </v>
      </c>
      <c r="B471" s="4" t="str">
        <f>'Raw Data'!B471</f>
        <v>Benjamin Bonzi</v>
      </c>
      <c r="C471" s="4">
        <f>'Raw Data'!C471</f>
        <v>51</v>
      </c>
      <c r="D471" s="4">
        <f>'Raw Data'!D471</f>
        <v>0</v>
      </c>
      <c r="E471" s="4" t="str">
        <f>'Raw Data'!J471</f>
        <v>R64</v>
      </c>
      <c r="F471" s="4">
        <f>'Raw Data'!K471</f>
        <v>2</v>
      </c>
      <c r="G471" s="4" t="str">
        <f>'Raw Data'!E471</f>
        <v>R32</v>
      </c>
      <c r="H471" s="4">
        <f>'Raw Data'!F471</f>
        <v>3</v>
      </c>
      <c r="I471" s="18">
        <f>'Raw Data'!L471</f>
        <v>1</v>
      </c>
    </row>
    <row r="472" spans="1:9" x14ac:dyDescent="0.3">
      <c r="A472" s="17" t="str">
        <f>'Raw Data'!A472</f>
        <v xml:space="preserve">US Open </v>
      </c>
      <c r="B472" s="4" t="str">
        <f>'Raw Data'!B472</f>
        <v>Learner Tien</v>
      </c>
      <c r="C472" s="4">
        <f>'Raw Data'!C472</f>
        <v>48</v>
      </c>
      <c r="D472" s="4">
        <f>'Raw Data'!D472</f>
        <v>0</v>
      </c>
      <c r="E472" s="4" t="str">
        <f>'Raw Data'!J472</f>
        <v>R64</v>
      </c>
      <c r="F472" s="4">
        <f>'Raw Data'!K472</f>
        <v>2</v>
      </c>
      <c r="G472" s="4" t="str">
        <f>'Raw Data'!E472</f>
        <v>R128</v>
      </c>
      <c r="H472" s="4">
        <f>'Raw Data'!F472</f>
        <v>1</v>
      </c>
      <c r="I472" s="18">
        <f>'Raw Data'!L472</f>
        <v>-1</v>
      </c>
    </row>
    <row r="473" spans="1:9" x14ac:dyDescent="0.3">
      <c r="A473" s="17" t="str">
        <f>'Raw Data'!A473</f>
        <v xml:space="preserve">US Open </v>
      </c>
      <c r="B473" s="4" t="str">
        <f>'Raw Data'!B473</f>
        <v>Taylor Fritz</v>
      </c>
      <c r="C473" s="4">
        <f>'Raw Data'!C473</f>
        <v>4</v>
      </c>
      <c r="D473" s="4">
        <f>'Raw Data'!D473</f>
        <v>4</v>
      </c>
      <c r="E473" s="4" t="str">
        <f>'Raw Data'!J473</f>
        <v>Semi-final</v>
      </c>
      <c r="F473" s="4">
        <f>'Raw Data'!K473</f>
        <v>6</v>
      </c>
      <c r="G473" s="4" t="str">
        <f>'Raw Data'!E473</f>
        <v>Quarter-final</v>
      </c>
      <c r="H473" s="4">
        <f>'Raw Data'!F473</f>
        <v>5</v>
      </c>
      <c r="I473" s="18">
        <f>'Raw Data'!L473</f>
        <v>-1</v>
      </c>
    </row>
    <row r="474" spans="1:9" x14ac:dyDescent="0.3">
      <c r="A474" s="17" t="str">
        <f>'Raw Data'!A474</f>
        <v xml:space="preserve">US Open </v>
      </c>
      <c r="B474" s="4" t="str">
        <f>'Raw Data'!B474</f>
        <v>Zachary Svajda</v>
      </c>
      <c r="C474" s="4">
        <f>'Raw Data'!C474</f>
        <v>143</v>
      </c>
      <c r="D474" s="4">
        <f>'Raw Data'!D474</f>
        <v>0</v>
      </c>
      <c r="E474" s="4" t="str">
        <f>'Raw Data'!J474</f>
        <v>R128</v>
      </c>
      <c r="F474" s="4">
        <f>'Raw Data'!K474</f>
        <v>1</v>
      </c>
      <c r="G474" s="4" t="str">
        <f>'Raw Data'!E474</f>
        <v>R64</v>
      </c>
      <c r="H474" s="4">
        <f>'Raw Data'!F474</f>
        <v>2</v>
      </c>
      <c r="I474" s="18">
        <f>'Raw Data'!L474</f>
        <v>1</v>
      </c>
    </row>
    <row r="475" spans="1:9" x14ac:dyDescent="0.3">
      <c r="A475" s="17" t="str">
        <f>'Raw Data'!A475</f>
        <v xml:space="preserve">US Open </v>
      </c>
      <c r="B475" s="4" t="str">
        <f>'Raw Data'!B475</f>
        <v>Zsombor Piros</v>
      </c>
      <c r="C475" s="4">
        <f>'Raw Data'!C475</f>
        <v>156</v>
      </c>
      <c r="D475" s="4">
        <f>'Raw Data'!D475</f>
        <v>0</v>
      </c>
      <c r="E475" s="4" t="str">
        <f>'Raw Data'!J475</f>
        <v>R128</v>
      </c>
      <c r="F475" s="4">
        <f>'Raw Data'!K475</f>
        <v>1</v>
      </c>
      <c r="G475" s="4" t="str">
        <f>'Raw Data'!E475</f>
        <v>R128</v>
      </c>
      <c r="H475" s="4">
        <f>'Raw Data'!F475</f>
        <v>1</v>
      </c>
      <c r="I475" s="18">
        <f>'Raw Data'!L475</f>
        <v>0</v>
      </c>
    </row>
    <row r="476" spans="1:9" x14ac:dyDescent="0.3">
      <c r="A476" s="17" t="str">
        <f>'Raw Data'!A476</f>
        <v xml:space="preserve">US Open </v>
      </c>
      <c r="B476" s="4" t="str">
        <f>'Raw Data'!B476</f>
        <v>Frances Tiafoe</v>
      </c>
      <c r="C476" s="4">
        <f>'Raw Data'!C476</f>
        <v>17</v>
      </c>
      <c r="D476" s="4">
        <f>'Raw Data'!D476</f>
        <v>17</v>
      </c>
      <c r="E476" s="4" t="str">
        <f>'Raw Data'!J476</f>
        <v>R32</v>
      </c>
      <c r="F476" s="4">
        <f>'Raw Data'!K476</f>
        <v>3</v>
      </c>
      <c r="G476" s="4" t="str">
        <f>'Raw Data'!E476</f>
        <v>R32</v>
      </c>
      <c r="H476" s="4">
        <f>'Raw Data'!F476</f>
        <v>3</v>
      </c>
      <c r="I476" s="18">
        <f>'Raw Data'!L476</f>
        <v>0</v>
      </c>
    </row>
    <row r="477" spans="1:9" x14ac:dyDescent="0.3">
      <c r="A477" s="17" t="str">
        <f>'Raw Data'!A477</f>
        <v xml:space="preserve">US Open </v>
      </c>
      <c r="B477" s="4" t="str">
        <f>'Raw Data'!B477</f>
        <v>Sebastian Korda</v>
      </c>
      <c r="C477" s="4">
        <f>'Raw Data'!C477</f>
        <v>86</v>
      </c>
      <c r="D477" s="4">
        <f>'Raw Data'!D477</f>
        <v>0</v>
      </c>
      <c r="E477" s="4" t="str">
        <f>'Raw Data'!J477</f>
        <v>R128</v>
      </c>
      <c r="F477" s="4">
        <f>'Raw Data'!K477</f>
        <v>1</v>
      </c>
      <c r="G477" s="4" t="str">
        <f>'Raw Data'!E477</f>
        <v>R128</v>
      </c>
      <c r="H477" s="4">
        <f>'Raw Data'!F477</f>
        <v>1</v>
      </c>
      <c r="I477" s="18">
        <f>'Raw Data'!L477</f>
        <v>0</v>
      </c>
    </row>
    <row r="478" spans="1:9" x14ac:dyDescent="0.3">
      <c r="A478" s="17" t="str">
        <f>'Raw Data'!A478</f>
        <v xml:space="preserve">US Open </v>
      </c>
      <c r="B478" s="4" t="str">
        <f>'Raw Data'!B478</f>
        <v>Francisco Comesana</v>
      </c>
      <c r="C478" s="4">
        <f>'Raw Data'!C478</f>
        <v>54</v>
      </c>
      <c r="D478" s="4">
        <f>'Raw Data'!D478</f>
        <v>0</v>
      </c>
      <c r="E478" s="4" t="str">
        <f>'Raw Data'!J478</f>
        <v>R64</v>
      </c>
      <c r="F478" s="4">
        <f>'Raw Data'!K478</f>
        <v>2</v>
      </c>
      <c r="G478" s="4" t="str">
        <f>'Raw Data'!E478</f>
        <v>R64</v>
      </c>
      <c r="H478" s="4">
        <f>'Raw Data'!F478</f>
        <v>2</v>
      </c>
      <c r="I478" s="18">
        <f>'Raw Data'!L478</f>
        <v>0</v>
      </c>
    </row>
    <row r="479" spans="1:9" x14ac:dyDescent="0.3">
      <c r="A479" s="17" t="str">
        <f>'Raw Data'!A479</f>
        <v xml:space="preserve">US Open </v>
      </c>
      <c r="B479" s="4" t="str">
        <f>'Raw Data'!B479</f>
        <v>Arthur Rinderknech</v>
      </c>
      <c r="C479" s="4">
        <f>'Raw Data'!C479</f>
        <v>77</v>
      </c>
      <c r="D479" s="4">
        <f>'Raw Data'!D479</f>
        <v>0</v>
      </c>
      <c r="E479" s="4" t="str">
        <f>'Raw Data'!J479</f>
        <v>R128</v>
      </c>
      <c r="F479" s="4">
        <f>'Raw Data'!K479</f>
        <v>1</v>
      </c>
      <c r="G479" s="4" t="str">
        <f>'Raw Data'!E479</f>
        <v>R16</v>
      </c>
      <c r="H479" s="4">
        <f>'Raw Data'!F479</f>
        <v>4</v>
      </c>
      <c r="I479" s="18">
        <f>'Raw Data'!L479</f>
        <v>3</v>
      </c>
    </row>
    <row r="480" spans="1:9" x14ac:dyDescent="0.3">
      <c r="A480" s="17" t="str">
        <f>'Raw Data'!A480</f>
        <v xml:space="preserve">US Open </v>
      </c>
      <c r="B480" s="4" t="str">
        <f>'Raw Data'!B480</f>
        <v>Alex Michelsen</v>
      </c>
      <c r="C480" s="4">
        <f>'Raw Data'!C480</f>
        <v>30</v>
      </c>
      <c r="D480" s="4">
        <f>'Raw Data'!D480</f>
        <v>28</v>
      </c>
      <c r="E480" s="4" t="str">
        <f>'Raw Data'!J480</f>
        <v>R32</v>
      </c>
      <c r="F480" s="4">
        <f>'Raw Data'!K480</f>
        <v>3</v>
      </c>
      <c r="G480" s="4" t="str">
        <f>'Raw Data'!E480</f>
        <v>R128</v>
      </c>
      <c r="H480" s="4">
        <f>'Raw Data'!F480</f>
        <v>1</v>
      </c>
      <c r="I480" s="18">
        <f>'Raw Data'!L480</f>
        <v>-2</v>
      </c>
    </row>
    <row r="481" spans="1:9" x14ac:dyDescent="0.3">
      <c r="A481" s="17" t="str">
        <f>'Raw Data'!A481</f>
        <v xml:space="preserve">US Open </v>
      </c>
      <c r="B481" s="4" t="str">
        <f>'Raw Data'!B481</f>
        <v>Darwin Blanch</v>
      </c>
      <c r="C481" s="4">
        <f>'Raw Data'!C481</f>
        <v>409</v>
      </c>
      <c r="D481" s="4">
        <f>'Raw Data'!D481</f>
        <v>0</v>
      </c>
      <c r="E481" s="4" t="str">
        <f>'Raw Data'!J481</f>
        <v>R128</v>
      </c>
      <c r="F481" s="4">
        <f>'Raw Data'!K481</f>
        <v>1</v>
      </c>
      <c r="G481" s="4" t="str">
        <f>'Raw Data'!E481</f>
        <v>R128</v>
      </c>
      <c r="H481" s="4">
        <f>'Raw Data'!F481</f>
        <v>1</v>
      </c>
      <c r="I481" s="18">
        <f>'Raw Data'!L481</f>
        <v>0</v>
      </c>
    </row>
    <row r="482" spans="1:9" x14ac:dyDescent="0.3">
      <c r="A482" s="17" t="str">
        <f>'Raw Data'!A482</f>
        <v xml:space="preserve">US Open </v>
      </c>
      <c r="B482" s="4" t="str">
        <f>'Raw Data'!B482</f>
        <v>Casper Ruud</v>
      </c>
      <c r="C482" s="4">
        <f>'Raw Data'!C482</f>
        <v>12</v>
      </c>
      <c r="D482" s="4">
        <f>'Raw Data'!D482</f>
        <v>12</v>
      </c>
      <c r="E482" s="4" t="str">
        <f>'Raw Data'!J482</f>
        <v>R16</v>
      </c>
      <c r="F482" s="4">
        <f>'Raw Data'!K482</f>
        <v>4</v>
      </c>
      <c r="G482" s="4" t="str">
        <f>'Raw Data'!E482</f>
        <v>R64</v>
      </c>
      <c r="H482" s="4">
        <f>'Raw Data'!F482</f>
        <v>2</v>
      </c>
      <c r="I482" s="18">
        <f>'Raw Data'!L482</f>
        <v>-2</v>
      </c>
    </row>
    <row r="483" spans="1:9" x14ac:dyDescent="0.3">
      <c r="A483" s="17" t="str">
        <f>'Raw Data'!A483</f>
        <v xml:space="preserve">US Open </v>
      </c>
      <c r="B483" s="4" t="str">
        <f>'Raw Data'!B483</f>
        <v>Holger Rune</v>
      </c>
      <c r="C483" s="4">
        <f>'Raw Data'!C483</f>
        <v>11</v>
      </c>
      <c r="D483" s="4">
        <f>'Raw Data'!D483</f>
        <v>11</v>
      </c>
      <c r="E483" s="4" t="str">
        <f>'Raw Data'!J483</f>
        <v>R16</v>
      </c>
      <c r="F483" s="4">
        <f>'Raw Data'!K483</f>
        <v>4</v>
      </c>
      <c r="G483" s="4" t="str">
        <f>'Raw Data'!E483</f>
        <v>R64</v>
      </c>
      <c r="H483" s="4">
        <f>'Raw Data'!F483</f>
        <v>2</v>
      </c>
      <c r="I483" s="18">
        <f>'Raw Data'!L483</f>
        <v>-2</v>
      </c>
    </row>
    <row r="484" spans="1:9" x14ac:dyDescent="0.3">
      <c r="A484" s="17" t="str">
        <f>'Raw Data'!A484</f>
        <v xml:space="preserve">US Open </v>
      </c>
      <c r="B484" s="4" t="str">
        <f>'Raw Data'!B484</f>
        <v>Tallon Griekspoor</v>
      </c>
      <c r="C484" s="4">
        <f>'Raw Data'!C484</f>
        <v>31</v>
      </c>
      <c r="D484" s="4">
        <f>'Raw Data'!D484</f>
        <v>29</v>
      </c>
      <c r="E484" s="4" t="str">
        <f>'Raw Data'!J484</f>
        <v>R32</v>
      </c>
      <c r="F484" s="4">
        <f>'Raw Data'!K484</f>
        <v>3</v>
      </c>
      <c r="G484" s="4" t="str">
        <f>'Raw Data'!E484</f>
        <v>R128</v>
      </c>
      <c r="H484" s="4">
        <f>'Raw Data'!F484</f>
        <v>1</v>
      </c>
      <c r="I484" s="18">
        <f>'Raw Data'!L484</f>
        <v>-2</v>
      </c>
    </row>
    <row r="485" spans="1:9" x14ac:dyDescent="0.3">
      <c r="A485" s="17" t="str">
        <f>'Raw Data'!A485</f>
        <v xml:space="preserve">US Open </v>
      </c>
      <c r="B485" s="4" t="str">
        <f>'Raw Data'!B485</f>
        <v>Jakub Mensik</v>
      </c>
      <c r="C485" s="4">
        <f>'Raw Data'!C485</f>
        <v>16</v>
      </c>
      <c r="D485" s="4">
        <f>'Raw Data'!D485</f>
        <v>16</v>
      </c>
      <c r="E485" s="4" t="str">
        <f>'Raw Data'!J485</f>
        <v>R16</v>
      </c>
      <c r="F485" s="4">
        <f>'Raw Data'!K485</f>
        <v>4</v>
      </c>
      <c r="G485" s="4" t="str">
        <f>'Raw Data'!E485</f>
        <v>R64</v>
      </c>
      <c r="H485" s="4">
        <f>'Raw Data'!F485</f>
        <v>2</v>
      </c>
      <c r="I485" s="18">
        <f>'Raw Data'!L485</f>
        <v>-2</v>
      </c>
    </row>
    <row r="486" spans="1:9" x14ac:dyDescent="0.3">
      <c r="A486" s="17" t="str">
        <f>'Raw Data'!A486</f>
        <v xml:space="preserve">US Open </v>
      </c>
      <c r="B486" s="4" t="str">
        <f>'Raw Data'!B486</f>
        <v>Lloyd Harris</v>
      </c>
      <c r="C486" s="4">
        <f>'Raw Data'!C486</f>
        <v>353</v>
      </c>
      <c r="D486" s="4">
        <f>'Raw Data'!D486</f>
        <v>0</v>
      </c>
      <c r="E486" s="4" t="str">
        <f>'Raw Data'!J486</f>
        <v>R128</v>
      </c>
      <c r="F486" s="4">
        <f>'Raw Data'!K486</f>
        <v>1</v>
      </c>
      <c r="G486" s="4" t="str">
        <f>'Raw Data'!E486</f>
        <v>R64</v>
      </c>
      <c r="H486" s="4">
        <f>'Raw Data'!F486</f>
        <v>2</v>
      </c>
      <c r="I486" s="18">
        <f>'Raw Data'!L486</f>
        <v>1</v>
      </c>
    </row>
    <row r="487" spans="1:9" x14ac:dyDescent="0.3">
      <c r="A487" s="17" t="str">
        <f>'Raw Data'!A487</f>
        <v xml:space="preserve">US Open </v>
      </c>
      <c r="B487" s="4" t="str">
        <f>'Raw Data'!B487</f>
        <v>Ugo Blanchet</v>
      </c>
      <c r="C487" s="4">
        <f>'Raw Data'!C487</f>
        <v>184</v>
      </c>
      <c r="D487" s="4">
        <f>'Raw Data'!D487</f>
        <v>0</v>
      </c>
      <c r="E487" s="4" t="str">
        <f>'Raw Data'!J487</f>
        <v>R128</v>
      </c>
      <c r="F487" s="4">
        <f>'Raw Data'!K487</f>
        <v>1</v>
      </c>
      <c r="G487" s="4" t="str">
        <f>'Raw Data'!E487</f>
        <v>R32</v>
      </c>
      <c r="H487" s="4">
        <f>'Raw Data'!F487</f>
        <v>3</v>
      </c>
      <c r="I487" s="18">
        <f>'Raw Data'!L487</f>
        <v>2</v>
      </c>
    </row>
    <row r="488" spans="1:9" x14ac:dyDescent="0.3">
      <c r="A488" s="17" t="str">
        <f>'Raw Data'!A488</f>
        <v xml:space="preserve">US Open </v>
      </c>
      <c r="B488" s="4" t="str">
        <f>'Raw Data'!B488</f>
        <v>Tomas Martin Etcheverry</v>
      </c>
      <c r="C488" s="4">
        <f>'Raw Data'!C488</f>
        <v>58</v>
      </c>
      <c r="D488" s="4">
        <f>'Raw Data'!D488</f>
        <v>0</v>
      </c>
      <c r="E488" s="4" t="str">
        <f>'Raw Data'!J488</f>
        <v>R64</v>
      </c>
      <c r="F488" s="4">
        <f>'Raw Data'!K488</f>
        <v>2</v>
      </c>
      <c r="G488" s="4" t="str">
        <f>'Raw Data'!E488</f>
        <v>R64</v>
      </c>
      <c r="H488" s="4">
        <f>'Raw Data'!F488</f>
        <v>2</v>
      </c>
      <c r="I488" s="18">
        <f>'Raw Data'!L488</f>
        <v>0</v>
      </c>
    </row>
    <row r="489" spans="1:9" x14ac:dyDescent="0.3">
      <c r="A489" s="17" t="str">
        <f>'Raw Data'!A489</f>
        <v xml:space="preserve">US Open </v>
      </c>
      <c r="B489" s="4" t="str">
        <f>'Raw Data'!B489</f>
        <v>Fabian Marozsan</v>
      </c>
      <c r="C489" s="4">
        <f>'Raw Data'!C489</f>
        <v>53</v>
      </c>
      <c r="D489" s="4">
        <f>'Raw Data'!D489</f>
        <v>0</v>
      </c>
      <c r="E489" s="4" t="str">
        <f>'Raw Data'!J489</f>
        <v>R64</v>
      </c>
      <c r="F489" s="4">
        <f>'Raw Data'!K489</f>
        <v>2</v>
      </c>
      <c r="G489" s="4" t="str">
        <f>'Raw Data'!E489</f>
        <v>R128</v>
      </c>
      <c r="H489" s="4">
        <f>'Raw Data'!F489</f>
        <v>1</v>
      </c>
      <c r="I489" s="18">
        <f>'Raw Data'!L489</f>
        <v>-1</v>
      </c>
    </row>
    <row r="490" spans="1:9" x14ac:dyDescent="0.3">
      <c r="A490" s="17" t="str">
        <f>'Raw Data'!A490</f>
        <v xml:space="preserve">US Open </v>
      </c>
      <c r="B490" s="4" t="str">
        <f>'Raw Data'!B490</f>
        <v>Joao Fonseca</v>
      </c>
      <c r="C490" s="4">
        <f>'Raw Data'!C490</f>
        <v>44</v>
      </c>
      <c r="D490" s="4">
        <f>'Raw Data'!D490</f>
        <v>0</v>
      </c>
      <c r="E490" s="4" t="str">
        <f>'Raw Data'!J490</f>
        <v>R64</v>
      </c>
      <c r="F490" s="4">
        <f>'Raw Data'!K490</f>
        <v>2</v>
      </c>
      <c r="G490" s="4" t="str">
        <f>'Raw Data'!E490</f>
        <v>R64</v>
      </c>
      <c r="H490" s="4">
        <f>'Raw Data'!F490</f>
        <v>2</v>
      </c>
      <c r="I490" s="18">
        <f>'Raw Data'!L490</f>
        <v>0</v>
      </c>
    </row>
    <row r="491" spans="1:9" x14ac:dyDescent="0.3">
      <c r="A491" s="17" t="str">
        <f>'Raw Data'!A491</f>
        <v xml:space="preserve">US Open </v>
      </c>
      <c r="B491" s="4" t="str">
        <f>'Raw Data'!B491</f>
        <v>Corentin Moutet</v>
      </c>
      <c r="C491" s="4">
        <f>'Raw Data'!C491</f>
        <v>41</v>
      </c>
      <c r="D491" s="4">
        <f>'Raw Data'!D491</f>
        <v>0</v>
      </c>
      <c r="E491" s="4" t="str">
        <f>'Raw Data'!J491</f>
        <v>R64</v>
      </c>
      <c r="F491" s="4">
        <f>'Raw Data'!K491</f>
        <v>2</v>
      </c>
      <c r="G491" s="4" t="str">
        <f>'Raw Data'!E491</f>
        <v>R128</v>
      </c>
      <c r="H491" s="4">
        <f>'Raw Data'!F491</f>
        <v>1</v>
      </c>
      <c r="I491" s="18">
        <f>'Raw Data'!L491</f>
        <v>-1</v>
      </c>
    </row>
    <row r="492" spans="1:9" x14ac:dyDescent="0.3">
      <c r="A492" s="17" t="str">
        <f>'Raw Data'!A492</f>
        <v xml:space="preserve">US Open </v>
      </c>
      <c r="B492" s="4" t="str">
        <f>'Raw Data'!B492</f>
        <v>Miomir Kecmanovic</v>
      </c>
      <c r="C492" s="4">
        <f>'Raw Data'!C492</f>
        <v>45</v>
      </c>
      <c r="D492" s="4">
        <f>'Raw Data'!D492</f>
        <v>0</v>
      </c>
      <c r="E492" s="4" t="str">
        <f>'Raw Data'!J492</f>
        <v>R64</v>
      </c>
      <c r="F492" s="4">
        <f>'Raw Data'!K492</f>
        <v>2</v>
      </c>
      <c r="G492" s="4" t="str">
        <f>'Raw Data'!E492</f>
        <v>R128</v>
      </c>
      <c r="H492" s="4">
        <f>'Raw Data'!F492</f>
        <v>1</v>
      </c>
      <c r="I492" s="18">
        <f>'Raw Data'!L492</f>
        <v>-1</v>
      </c>
    </row>
    <row r="493" spans="1:9" x14ac:dyDescent="0.3">
      <c r="A493" s="17" t="str">
        <f>'Raw Data'!A493</f>
        <v xml:space="preserve">US Open </v>
      </c>
      <c r="B493" s="4" t="str">
        <f>'Raw Data'!B493</f>
        <v>Tomas Machac</v>
      </c>
      <c r="C493" s="4">
        <f>'Raw Data'!C493</f>
        <v>22</v>
      </c>
      <c r="D493" s="4">
        <f>'Raw Data'!D493</f>
        <v>21</v>
      </c>
      <c r="E493" s="4" t="str">
        <f>'Raw Data'!J493</f>
        <v>R32</v>
      </c>
      <c r="F493" s="4">
        <f>'Raw Data'!K493</f>
        <v>3</v>
      </c>
      <c r="G493" s="4" t="str">
        <f>'Raw Data'!E493</f>
        <v>R16</v>
      </c>
      <c r="H493" s="4">
        <f>'Raw Data'!F493</f>
        <v>4</v>
      </c>
      <c r="I493" s="18">
        <f>'Raw Data'!L493</f>
        <v>1</v>
      </c>
    </row>
    <row r="494" spans="1:9" x14ac:dyDescent="0.3">
      <c r="A494" s="17" t="str">
        <f>'Raw Data'!A494</f>
        <v xml:space="preserve">US Open </v>
      </c>
      <c r="B494" s="4" t="str">
        <f>'Raw Data'!B494</f>
        <v>Camilo Ugo Carabelli</v>
      </c>
      <c r="C494" s="4">
        <f>'Raw Data'!C494</f>
        <v>43</v>
      </c>
      <c r="D494" s="4">
        <f>'Raw Data'!D494</f>
        <v>0</v>
      </c>
      <c r="E494" s="4" t="str">
        <f>'Raw Data'!J494</f>
        <v>R64</v>
      </c>
      <c r="F494" s="4">
        <f>'Raw Data'!K494</f>
        <v>2</v>
      </c>
      <c r="G494" s="4" t="str">
        <f>'Raw Data'!E494</f>
        <v>R128</v>
      </c>
      <c r="H494" s="4">
        <f>'Raw Data'!F494</f>
        <v>1</v>
      </c>
      <c r="I494" s="18">
        <f>'Raw Data'!L494</f>
        <v>-1</v>
      </c>
    </row>
    <row r="495" spans="1:9" x14ac:dyDescent="0.3">
      <c r="A495" s="17" t="str">
        <f>'Raw Data'!A495</f>
        <v xml:space="preserve">US Open </v>
      </c>
      <c r="B495" s="4" t="str">
        <f>'Raw Data'!B495</f>
        <v>Luca Nardi</v>
      </c>
      <c r="C495" s="4">
        <f>'Raw Data'!C495</f>
        <v>83</v>
      </c>
      <c r="D495" s="4">
        <f>'Raw Data'!D495</f>
        <v>0</v>
      </c>
      <c r="E495" s="4" t="str">
        <f>'Raw Data'!J495</f>
        <v>R128</v>
      </c>
      <c r="F495" s="4">
        <f>'Raw Data'!K495</f>
        <v>1</v>
      </c>
      <c r="G495" s="4" t="str">
        <f>'Raw Data'!E495</f>
        <v>R128</v>
      </c>
      <c r="H495" s="4">
        <f>'Raw Data'!F495</f>
        <v>1</v>
      </c>
      <c r="I495" s="18">
        <f>'Raw Data'!L495</f>
        <v>0</v>
      </c>
    </row>
    <row r="496" spans="1:9" x14ac:dyDescent="0.3">
      <c r="A496" s="17" t="str">
        <f>'Raw Data'!A496</f>
        <v xml:space="preserve">US Open </v>
      </c>
      <c r="B496" s="4" t="str">
        <f>'Raw Data'!B496</f>
        <v>Brandon Nakashima</v>
      </c>
      <c r="C496" s="4">
        <f>'Raw Data'!C496</f>
        <v>32</v>
      </c>
      <c r="D496" s="4">
        <f>'Raw Data'!D496</f>
        <v>30</v>
      </c>
      <c r="E496" s="4" t="str">
        <f>'Raw Data'!J496</f>
        <v>R32</v>
      </c>
      <c r="F496" s="4">
        <f>'Raw Data'!K496</f>
        <v>3</v>
      </c>
      <c r="G496" s="4" t="str">
        <f>'Raw Data'!E496</f>
        <v>R64</v>
      </c>
      <c r="H496" s="4">
        <f>'Raw Data'!F496</f>
        <v>2</v>
      </c>
      <c r="I496" s="18">
        <f>'Raw Data'!L496</f>
        <v>-1</v>
      </c>
    </row>
    <row r="497" spans="1:9" x14ac:dyDescent="0.3">
      <c r="A497" s="17" t="str">
        <f>'Raw Data'!A497</f>
        <v xml:space="preserve">US Open </v>
      </c>
      <c r="B497" s="4" t="str">
        <f>'Raw Data'!B497</f>
        <v>Jesper De Jong</v>
      </c>
      <c r="C497" s="4">
        <f>'Raw Data'!C497</f>
        <v>80</v>
      </c>
      <c r="D497" s="4">
        <f>'Raw Data'!D497</f>
        <v>0</v>
      </c>
      <c r="E497" s="4" t="str">
        <f>'Raw Data'!J497</f>
        <v>R128</v>
      </c>
      <c r="F497" s="4">
        <f>'Raw Data'!K497</f>
        <v>1</v>
      </c>
      <c r="G497" s="4" t="str">
        <f>'Raw Data'!E497</f>
        <v>R128</v>
      </c>
      <c r="H497" s="4">
        <f>'Raw Data'!F497</f>
        <v>1</v>
      </c>
      <c r="I497" s="18">
        <f>'Raw Data'!L497</f>
        <v>0</v>
      </c>
    </row>
    <row r="498" spans="1:9" x14ac:dyDescent="0.3">
      <c r="A498" s="17" t="str">
        <f>'Raw Data'!A498</f>
        <v xml:space="preserve">US Open </v>
      </c>
      <c r="B498" s="4" t="str">
        <f>'Raw Data'!B498</f>
        <v>Alejandro Davidovich Fokina</v>
      </c>
      <c r="C498" s="4">
        <f>'Raw Data'!C498</f>
        <v>18</v>
      </c>
      <c r="D498" s="4">
        <f>'Raw Data'!D498</f>
        <v>18</v>
      </c>
      <c r="E498" s="4" t="str">
        <f>'Raw Data'!J498</f>
        <v>R32</v>
      </c>
      <c r="F498" s="4">
        <f>'Raw Data'!K498</f>
        <v>3</v>
      </c>
      <c r="G498" s="4" t="str">
        <f>'Raw Data'!E498</f>
        <v>R64</v>
      </c>
      <c r="H498" s="4">
        <f>'Raw Data'!F498</f>
        <v>2</v>
      </c>
      <c r="I498" s="18">
        <f>'Raw Data'!L498</f>
        <v>-1</v>
      </c>
    </row>
    <row r="499" spans="1:9" x14ac:dyDescent="0.3">
      <c r="A499" s="17" t="str">
        <f>'Raw Data'!A499</f>
        <v xml:space="preserve">US Open </v>
      </c>
      <c r="B499" s="4" t="str">
        <f>'Raw Data'!B499</f>
        <v>Jerome Kym</v>
      </c>
      <c r="C499" s="4">
        <f>'Raw Data'!C499</f>
        <v>176</v>
      </c>
      <c r="D499" s="4">
        <f>'Raw Data'!D499</f>
        <v>0</v>
      </c>
      <c r="E499" s="4" t="str">
        <f>'Raw Data'!J499</f>
        <v>R128</v>
      </c>
      <c r="F499" s="4">
        <f>'Raw Data'!K499</f>
        <v>1</v>
      </c>
      <c r="G499" s="4" t="str">
        <f>'Raw Data'!E499</f>
        <v>R32</v>
      </c>
      <c r="H499" s="4">
        <f>'Raw Data'!F499</f>
        <v>3</v>
      </c>
      <c r="I499" s="18">
        <f>'Raw Data'!L499</f>
        <v>2</v>
      </c>
    </row>
    <row r="500" spans="1:9" x14ac:dyDescent="0.3">
      <c r="A500" s="17" t="str">
        <f>'Raw Data'!A500</f>
        <v xml:space="preserve">US Open </v>
      </c>
      <c r="B500" s="4" t="str">
        <f>'Raw Data'!B500</f>
        <v>Ethan Quinn</v>
      </c>
      <c r="C500" s="4">
        <f>'Raw Data'!C500</f>
        <v>81</v>
      </c>
      <c r="D500" s="4">
        <f>'Raw Data'!D500</f>
        <v>0</v>
      </c>
      <c r="E500" s="4" t="str">
        <f>'Raw Data'!J500</f>
        <v>R128</v>
      </c>
      <c r="F500" s="4">
        <f>'Raw Data'!K500</f>
        <v>1</v>
      </c>
      <c r="G500" s="4" t="str">
        <f>'Raw Data'!E500</f>
        <v>R128</v>
      </c>
      <c r="H500" s="4">
        <f>'Raw Data'!F500</f>
        <v>1</v>
      </c>
      <c r="I500" s="18">
        <f>'Raw Data'!L500</f>
        <v>0</v>
      </c>
    </row>
    <row r="501" spans="1:9" x14ac:dyDescent="0.3">
      <c r="A501" s="17" t="str">
        <f>'Raw Data'!A501</f>
        <v xml:space="preserve">US Open </v>
      </c>
      <c r="B501" s="4" t="str">
        <f>'Raw Data'!B501</f>
        <v>Sebastian Baez</v>
      </c>
      <c r="C501" s="4">
        <f>'Raw Data'!C501</f>
        <v>40</v>
      </c>
      <c r="D501" s="4">
        <f>'Raw Data'!D501</f>
        <v>0</v>
      </c>
      <c r="E501" s="4" t="str">
        <f>'Raw Data'!J501</f>
        <v>R64</v>
      </c>
      <c r="F501" s="4">
        <f>'Raw Data'!K501</f>
        <v>2</v>
      </c>
      <c r="G501" s="4" t="str">
        <f>'Raw Data'!E501</f>
        <v>R128</v>
      </c>
      <c r="H501" s="4">
        <f>'Raw Data'!F501</f>
        <v>1</v>
      </c>
      <c r="I501" s="18">
        <f>'Raw Data'!L501</f>
        <v>-1</v>
      </c>
    </row>
    <row r="502" spans="1:9" x14ac:dyDescent="0.3">
      <c r="A502" s="17" t="str">
        <f>'Raw Data'!A502</f>
        <v xml:space="preserve">US Open </v>
      </c>
      <c r="B502" s="4" t="str">
        <f>'Raw Data'!B502</f>
        <v>Emilio Nava</v>
      </c>
      <c r="C502" s="4">
        <f>'Raw Data'!C502</f>
        <v>101</v>
      </c>
      <c r="D502" s="4">
        <f>'Raw Data'!D502</f>
        <v>0</v>
      </c>
      <c r="E502" s="4" t="str">
        <f>'Raw Data'!J502</f>
        <v>R128</v>
      </c>
      <c r="F502" s="4">
        <f>'Raw Data'!K502</f>
        <v>1</v>
      </c>
      <c r="G502" s="4" t="str">
        <f>'Raw Data'!E502</f>
        <v>R128</v>
      </c>
      <c r="H502" s="4">
        <f>'Raw Data'!F502</f>
        <v>1</v>
      </c>
      <c r="I502" s="18">
        <f>'Raw Data'!L502</f>
        <v>0</v>
      </c>
    </row>
    <row r="503" spans="1:9" x14ac:dyDescent="0.3">
      <c r="A503" s="17" t="str">
        <f>'Raw Data'!A503</f>
        <v xml:space="preserve">US Open </v>
      </c>
      <c r="B503" s="4" t="str">
        <f>'Raw Data'!B503</f>
        <v>Ben Shelton</v>
      </c>
      <c r="C503" s="4">
        <f>'Raw Data'!C503</f>
        <v>6</v>
      </c>
      <c r="D503" s="4">
        <f>'Raw Data'!D503</f>
        <v>6</v>
      </c>
      <c r="E503" s="4" t="str">
        <f>'Raw Data'!J503</f>
        <v>Quarter-final</v>
      </c>
      <c r="F503" s="4">
        <f>'Raw Data'!K503</f>
        <v>5</v>
      </c>
      <c r="G503" s="4" t="str">
        <f>'Raw Data'!E503</f>
        <v>R32</v>
      </c>
      <c r="H503" s="4">
        <f>'Raw Data'!F503</f>
        <v>3</v>
      </c>
      <c r="I503" s="18">
        <f>'Raw Data'!L503</f>
        <v>-2</v>
      </c>
    </row>
    <row r="504" spans="1:9" x14ac:dyDescent="0.3">
      <c r="A504" s="17" t="str">
        <f>'Raw Data'!A504</f>
        <v xml:space="preserve">US Open </v>
      </c>
      <c r="B504" s="4" t="str">
        <f>'Raw Data'!B504</f>
        <v>Ignacio Buse</v>
      </c>
      <c r="C504" s="4">
        <f>'Raw Data'!C504</f>
        <v>136</v>
      </c>
      <c r="D504" s="4">
        <f>'Raw Data'!D504</f>
        <v>0</v>
      </c>
      <c r="E504" s="4" t="str">
        <f>'Raw Data'!J504</f>
        <v>R128</v>
      </c>
      <c r="F504" s="4">
        <f>'Raw Data'!K504</f>
        <v>1</v>
      </c>
      <c r="G504" s="4" t="str">
        <f>'Raw Data'!E504</f>
        <v>R128</v>
      </c>
      <c r="H504" s="4">
        <f>'Raw Data'!F504</f>
        <v>1</v>
      </c>
      <c r="I504" s="18">
        <f>'Raw Data'!L504</f>
        <v>0</v>
      </c>
    </row>
    <row r="505" spans="1:9" x14ac:dyDescent="0.3">
      <c r="A505" s="17" t="str">
        <f>'Raw Data'!A505</f>
        <v xml:space="preserve">US Open </v>
      </c>
      <c r="B505" s="4" t="str">
        <f>'Raw Data'!B505</f>
        <v>Pablo Llamas Ruiz</v>
      </c>
      <c r="C505" s="4">
        <f>'Raw Data'!C505</f>
        <v>355</v>
      </c>
      <c r="D505" s="4">
        <f>'Raw Data'!D505</f>
        <v>0</v>
      </c>
      <c r="E505" s="4" t="str">
        <f>'Raw Data'!J505</f>
        <v>R128</v>
      </c>
      <c r="F505" s="4">
        <f>'Raw Data'!K505</f>
        <v>1</v>
      </c>
      <c r="G505" s="4" t="str">
        <f>'Raw Data'!E505</f>
        <v>R128</v>
      </c>
      <c r="H505" s="4">
        <f>'Raw Data'!F505</f>
        <v>1</v>
      </c>
      <c r="I505" s="18">
        <f>'Raw Data'!L505</f>
        <v>0</v>
      </c>
    </row>
    <row r="506" spans="1:9" x14ac:dyDescent="0.3">
      <c r="A506" s="17" t="str">
        <f>'Raw Data'!A506</f>
        <v xml:space="preserve">US Open </v>
      </c>
      <c r="B506" s="4" t="str">
        <f>'Raw Data'!B506</f>
        <v>Jiri Lehecka</v>
      </c>
      <c r="C506" s="4">
        <f>'Raw Data'!C506</f>
        <v>21</v>
      </c>
      <c r="D506" s="4">
        <f>'Raw Data'!D506</f>
        <v>20</v>
      </c>
      <c r="E506" s="4" t="str">
        <f>'Raw Data'!J506</f>
        <v>R32</v>
      </c>
      <c r="F506" s="4">
        <f>'Raw Data'!K506</f>
        <v>3</v>
      </c>
      <c r="G506" s="4" t="str">
        <f>'Raw Data'!E506</f>
        <v>Quarter-final</v>
      </c>
      <c r="H506" s="4">
        <f>'Raw Data'!F506</f>
        <v>5</v>
      </c>
      <c r="I506" s="18">
        <f>'Raw Data'!L506</f>
        <v>2</v>
      </c>
    </row>
    <row r="507" spans="1:9" x14ac:dyDescent="0.3">
      <c r="A507" s="17" t="str">
        <f>'Raw Data'!A507</f>
        <v xml:space="preserve">US Open </v>
      </c>
      <c r="B507" s="4" t="str">
        <f>'Raw Data'!B507</f>
        <v>Raphael Collignon</v>
      </c>
      <c r="C507" s="4">
        <f>'Raw Data'!C507</f>
        <v>105</v>
      </c>
      <c r="D507" s="4">
        <f>'Raw Data'!D507</f>
        <v>0</v>
      </c>
      <c r="E507" s="4" t="str">
        <f>'Raw Data'!J507</f>
        <v>R128</v>
      </c>
      <c r="F507" s="4">
        <f>'Raw Data'!K507</f>
        <v>1</v>
      </c>
      <c r="G507" s="4" t="str">
        <f>'Raw Data'!E507</f>
        <v>R32</v>
      </c>
      <c r="H507" s="4">
        <f>'Raw Data'!F507</f>
        <v>3</v>
      </c>
      <c r="I507" s="18">
        <f>'Raw Data'!L507</f>
        <v>2</v>
      </c>
    </row>
    <row r="508" spans="1:9" x14ac:dyDescent="0.3">
      <c r="A508" s="17" t="str">
        <f>'Raw Data'!A508</f>
        <v xml:space="preserve">US Open </v>
      </c>
      <c r="B508" s="4" t="str">
        <f>'Raw Data'!B508</f>
        <v>Alexander Shevchenko</v>
      </c>
      <c r="C508" s="4">
        <f>'Raw Data'!C508</f>
        <v>89</v>
      </c>
      <c r="D508" s="4">
        <f>'Raw Data'!D508</f>
        <v>0</v>
      </c>
      <c r="E508" s="4" t="str">
        <f>'Raw Data'!J508</f>
        <v>R128</v>
      </c>
      <c r="F508" s="4">
        <f>'Raw Data'!K508</f>
        <v>1</v>
      </c>
      <c r="G508" s="4" t="str">
        <f>'Raw Data'!E508</f>
        <v>R128</v>
      </c>
      <c r="H508" s="4">
        <f>'Raw Data'!F508</f>
        <v>1</v>
      </c>
      <c r="I508" s="18">
        <f>'Raw Data'!L508</f>
        <v>0</v>
      </c>
    </row>
    <row r="509" spans="1:9" x14ac:dyDescent="0.3">
      <c r="A509" s="17" t="str">
        <f>'Raw Data'!A509</f>
        <v xml:space="preserve">US Open </v>
      </c>
      <c r="B509" s="4" t="str">
        <f>'Raw Data'!B509</f>
        <v>Stefan Dostanic</v>
      </c>
      <c r="C509" s="4">
        <f>'Raw Data'!C509</f>
        <v>412</v>
      </c>
      <c r="D509" s="4">
        <f>'Raw Data'!D509</f>
        <v>0</v>
      </c>
      <c r="E509" s="4" t="str">
        <f>'Raw Data'!J509</f>
        <v>R128</v>
      </c>
      <c r="F509" s="4">
        <f>'Raw Data'!K509</f>
        <v>1</v>
      </c>
      <c r="G509" s="4" t="str">
        <f>'Raw Data'!E509</f>
        <v>R128</v>
      </c>
      <c r="H509" s="4">
        <f>'Raw Data'!F509</f>
        <v>1</v>
      </c>
      <c r="I509" s="18">
        <f>'Raw Data'!L509</f>
        <v>0</v>
      </c>
    </row>
    <row r="510" spans="1:9" x14ac:dyDescent="0.3">
      <c r="A510" s="17" t="str">
        <f>'Raw Data'!A510</f>
        <v xml:space="preserve">US Open </v>
      </c>
      <c r="B510" s="4" t="str">
        <f>'Raw Data'!B510</f>
        <v>Mariano Navone</v>
      </c>
      <c r="C510" s="4">
        <f>'Raw Data'!C510</f>
        <v>74</v>
      </c>
      <c r="D510" s="4">
        <f>'Raw Data'!D510</f>
        <v>0</v>
      </c>
      <c r="E510" s="4" t="str">
        <f>'Raw Data'!J510</f>
        <v>R128</v>
      </c>
      <c r="F510" s="4">
        <f>'Raw Data'!K510</f>
        <v>1</v>
      </c>
      <c r="G510" s="4" t="str">
        <f>'Raw Data'!E510</f>
        <v>R128</v>
      </c>
      <c r="H510" s="4">
        <f>'Raw Data'!F510</f>
        <v>1</v>
      </c>
      <c r="I510" s="18">
        <f>'Raw Data'!L510</f>
        <v>0</v>
      </c>
    </row>
    <row r="511" spans="1:9" x14ac:dyDescent="0.3">
      <c r="A511" s="17" t="str">
        <f>'Raw Data'!A511</f>
        <v xml:space="preserve">US Open </v>
      </c>
      <c r="B511" s="4" t="str">
        <f>'Raw Data'!B511</f>
        <v>Carlos Alcaraz</v>
      </c>
      <c r="C511" s="4">
        <f>'Raw Data'!C511</f>
        <v>2</v>
      </c>
      <c r="D511" s="4">
        <f>'Raw Data'!D511</f>
        <v>2</v>
      </c>
      <c r="E511" s="4" t="str">
        <f>'Raw Data'!J511</f>
        <v>Final</v>
      </c>
      <c r="F511" s="4">
        <f>'Raw Data'!K511</f>
        <v>7</v>
      </c>
      <c r="G511" s="4" t="str">
        <f>'Raw Data'!E511</f>
        <v>Final</v>
      </c>
      <c r="H511" s="4">
        <f>'Raw Data'!F511</f>
        <v>8</v>
      </c>
      <c r="I511" s="18">
        <f>'Raw Data'!L511</f>
        <v>1</v>
      </c>
    </row>
    <row r="512" spans="1:9" x14ac:dyDescent="0.3">
      <c r="A512" s="17" t="str">
        <f>'Raw Data'!A512</f>
        <v xml:space="preserve">US Open </v>
      </c>
      <c r="B512" s="4" t="str">
        <f>'Raw Data'!B512</f>
        <v>Rinky Hijikata</v>
      </c>
      <c r="C512" s="4">
        <f>'Raw Data'!C512</f>
        <v>96</v>
      </c>
      <c r="D512" s="4">
        <f>'Raw Data'!D512</f>
        <v>0</v>
      </c>
      <c r="E512" s="4" t="str">
        <f>'Raw Data'!J512</f>
        <v>R128</v>
      </c>
      <c r="F512" s="4">
        <f>'Raw Data'!K512</f>
        <v>1</v>
      </c>
      <c r="G512" s="4" t="str">
        <f>'Raw Data'!E512</f>
        <v>R128</v>
      </c>
      <c r="H512" s="4">
        <f>'Raw Data'!F512</f>
        <v>1</v>
      </c>
      <c r="I512" s="18">
        <f>'Raw Data'!L512</f>
        <v>0</v>
      </c>
    </row>
    <row r="513" spans="1:9" x14ac:dyDescent="0.3">
      <c r="A513" s="17" t="str">
        <f>'Raw Data'!A513</f>
        <v xml:space="preserve">US Open </v>
      </c>
      <c r="B513" s="4" t="str">
        <f>'Raw Data'!B513</f>
        <v>Luciano Darderi</v>
      </c>
      <c r="C513" s="4">
        <f>'Raw Data'!C513</f>
        <v>34</v>
      </c>
      <c r="D513" s="4">
        <f>'Raw Data'!D513</f>
        <v>32</v>
      </c>
      <c r="E513" s="4" t="str">
        <f>'Raw Data'!J513</f>
        <v>R64</v>
      </c>
      <c r="F513" s="4">
        <f>'Raw Data'!K513</f>
        <v>2</v>
      </c>
      <c r="G513" s="4" t="str">
        <f>'Raw Data'!E513</f>
        <v>R32</v>
      </c>
      <c r="H513" s="4">
        <f>'Raw Data'!F513</f>
        <v>3</v>
      </c>
      <c r="I513" s="18">
        <f>'Raw Data'!L513</f>
        <v>1</v>
      </c>
    </row>
    <row r="514" spans="1:9" x14ac:dyDescent="0.3">
      <c r="A514" s="17" t="str">
        <f>'Raw Data'!A514</f>
        <v xml:space="preserve">US Open </v>
      </c>
      <c r="B514" s="4" t="str">
        <f>'Raw Data'!B514</f>
        <v>Eliot Spizzirri</v>
      </c>
      <c r="C514" s="4">
        <f>'Raw Data'!C514</f>
        <v>128</v>
      </c>
      <c r="D514" s="4">
        <f>'Raw Data'!D514</f>
        <v>0</v>
      </c>
      <c r="E514" s="4" t="str">
        <f>'Raw Data'!J514</f>
        <v>R128</v>
      </c>
      <c r="F514" s="4">
        <f>'Raw Data'!K514</f>
        <v>1</v>
      </c>
      <c r="G514" s="4" t="str">
        <f>'Raw Data'!E514</f>
        <v>R64</v>
      </c>
      <c r="H514" s="4">
        <f>'Raw Data'!F514</f>
        <v>2</v>
      </c>
      <c r="I514" s="18">
        <f>'Raw Data'!L514</f>
        <v>1</v>
      </c>
    </row>
    <row r="515" spans="1:9" x14ac:dyDescent="0.3">
      <c r="A515" s="17" t="str">
        <f>'Raw Data'!A515</f>
        <v xml:space="preserve">US Open </v>
      </c>
      <c r="B515" s="4" t="str">
        <f>'Raw Data'!B515</f>
        <v>Mattia Bellucci</v>
      </c>
      <c r="C515" s="4">
        <f>'Raw Data'!C515</f>
        <v>63</v>
      </c>
      <c r="D515" s="4">
        <f>'Raw Data'!D515</f>
        <v>0</v>
      </c>
      <c r="E515" s="4" t="str">
        <f>'Raw Data'!J515</f>
        <v>R64</v>
      </c>
      <c r="F515" s="4">
        <f>'Raw Data'!K515</f>
        <v>2</v>
      </c>
      <c r="G515" s="4" t="str">
        <f>'Raw Data'!E515</f>
        <v>R64</v>
      </c>
      <c r="H515" s="4">
        <f>'Raw Data'!F515</f>
        <v>2</v>
      </c>
      <c r="I515" s="18">
        <f>'Raw Data'!L515</f>
        <v>0</v>
      </c>
    </row>
    <row r="516" spans="1:9" x14ac:dyDescent="0.3">
      <c r="A516" s="22" t="s">
        <v>28</v>
      </c>
      <c r="B516" s="23" t="str">
        <f>'Raw Data'!B516</f>
        <v>Juncheng Shang</v>
      </c>
      <c r="C516" s="23">
        <f>'Raw Data'!C516</f>
        <v>108</v>
      </c>
      <c r="D516" s="23">
        <f>'Raw Data'!D516</f>
        <v>0</v>
      </c>
      <c r="E516" s="23" t="str">
        <f>'Raw Data'!J516</f>
        <v>R128</v>
      </c>
      <c r="F516" s="23">
        <f>'Raw Data'!K516</f>
        <v>1</v>
      </c>
      <c r="G516" s="23" t="str">
        <f>'Raw Data'!E516</f>
        <v>R128</v>
      </c>
      <c r="H516" s="23">
        <f>'Raw Data'!F516</f>
        <v>1</v>
      </c>
      <c r="I516" s="24">
        <f>'Raw Data'!L516</f>
        <v>0</v>
      </c>
    </row>
  </sheetData>
  <mergeCells count="2">
    <mergeCell ref="A1:I1"/>
    <mergeCell ref="A2:I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6CB8C-17D8-4EB3-854E-9882C0E604BC}">
  <dimension ref="A1:M8"/>
  <sheetViews>
    <sheetView zoomScale="80" zoomScaleNormal="80" workbookViewId="0">
      <selection activeCell="F22" sqref="F22"/>
    </sheetView>
  </sheetViews>
  <sheetFormatPr defaultRowHeight="14.4" x14ac:dyDescent="0.3"/>
  <cols>
    <col min="1" max="1" width="15.33203125" style="1" customWidth="1"/>
    <col min="2" max="2" width="19.88671875" style="1" customWidth="1"/>
    <col min="3" max="3" width="17.44140625" style="1" customWidth="1"/>
    <col min="4" max="4" width="26.21875" style="1" customWidth="1"/>
    <col min="5" max="5" width="20.44140625" style="1" customWidth="1"/>
    <col min="6" max="6" width="22.88671875" style="1" customWidth="1"/>
    <col min="7" max="7" width="20.44140625" style="1" customWidth="1"/>
    <col min="8" max="16384" width="8.88671875" style="1"/>
  </cols>
  <sheetData>
    <row r="1" spans="1:13" ht="31.8" thickBot="1" x14ac:dyDescent="0.65">
      <c r="A1" s="58" t="s">
        <v>732</v>
      </c>
      <c r="B1" s="58"/>
      <c r="C1" s="58"/>
      <c r="D1" s="58"/>
      <c r="E1" s="58"/>
      <c r="F1" s="58"/>
      <c r="G1" s="58"/>
      <c r="H1" s="49"/>
      <c r="I1" s="49"/>
      <c r="J1" s="49"/>
      <c r="K1" s="49"/>
      <c r="L1" s="49"/>
      <c r="M1" s="49"/>
    </row>
    <row r="2" spans="1:13" x14ac:dyDescent="0.3">
      <c r="A2" s="59" t="s">
        <v>733</v>
      </c>
      <c r="B2" s="59"/>
      <c r="C2" s="59"/>
      <c r="D2" s="59"/>
      <c r="E2" s="59"/>
      <c r="F2" s="59"/>
      <c r="G2" s="59"/>
      <c r="H2" s="8"/>
      <c r="I2" s="8"/>
      <c r="J2" s="8"/>
      <c r="K2" s="8"/>
      <c r="L2" s="8"/>
      <c r="M2" s="8"/>
    </row>
    <row r="4" spans="1:13" ht="15.6" x14ac:dyDescent="0.3">
      <c r="A4" s="6" t="s">
        <v>18</v>
      </c>
      <c r="B4" s="6" t="s">
        <v>739</v>
      </c>
      <c r="C4" s="6" t="s">
        <v>734</v>
      </c>
      <c r="D4" s="6" t="s">
        <v>735</v>
      </c>
      <c r="E4" s="6" t="s">
        <v>736</v>
      </c>
      <c r="F4" s="6" t="s">
        <v>737</v>
      </c>
      <c r="G4" s="6" t="s">
        <v>738</v>
      </c>
    </row>
    <row r="5" spans="1:13" x14ac:dyDescent="0.3">
      <c r="A5" s="4" t="s">
        <v>53</v>
      </c>
      <c r="B5" s="26">
        <f>AVERAGEIF('Exp. vs Act.'!A:A,A5,'Exp. vs Act.'!F:F)</f>
        <v>1.96875</v>
      </c>
      <c r="C5" s="26">
        <f>AVERAGEIF('Exp. vs Act.'!A:A,A5,'Exp. vs Act.'!H:H)</f>
        <v>1.9921875</v>
      </c>
      <c r="D5" s="26">
        <f>AVERAGEIF('Exp. vs Act.'!A:A,A5,'Exp. vs Act.'!I:I)</f>
        <v>7.8125E-3</v>
      </c>
      <c r="E5" s="4" cm="1">
        <f t="array" ref="E5">SUMPRODUCT(('Exp. vs Act.'!$A$5:$A$516=A5)*('Exp. vs Act.'!$I$5:$I$516&gt;0))</f>
        <v>40</v>
      </c>
      <c r="F5" s="4">
        <f>COUNTIFS('Exp. vs Act.'!$A$5:$A$516,A5,'Exp. vs Act.'!$I$5:$I$516,0)</f>
        <v>52</v>
      </c>
      <c r="G5" s="4" cm="1">
        <f t="array" ref="G5">SUMPRODUCT(('Exp. vs Act.'!$A$5:$A$516=A5)*('Exp. vs Act.'!$I$5:$I$516&lt;0))</f>
        <v>36</v>
      </c>
    </row>
    <row r="6" spans="1:13" x14ac:dyDescent="0.3">
      <c r="A6" s="4" t="s">
        <v>26</v>
      </c>
      <c r="B6" s="26">
        <f>AVERAGEIF('Exp. vs Act.'!A:A,A6,'Exp. vs Act.'!F:F)</f>
        <v>1.9453125</v>
      </c>
      <c r="C6" s="26">
        <f>AVERAGEIF('Exp. vs Act.'!A:A,A6,'Exp. vs Act.'!H:H)</f>
        <v>1.9921875</v>
      </c>
      <c r="D6" s="26">
        <f>AVERAGEIF('Exp. vs Act.'!A:A,A6,'Exp. vs Act.'!I:I)</f>
        <v>4.6875E-2</v>
      </c>
      <c r="E6" s="4" cm="1">
        <f t="array" ref="E6">SUMPRODUCT(('Exp. vs Act.'!$A$5:$A$516=A6)*('Exp. vs Act.'!$I$5:$I$516&gt;0))</f>
        <v>41</v>
      </c>
      <c r="F6" s="4">
        <f>COUNTIFS('Exp. vs Act.'!$A$5:$A$516,A6,'Exp. vs Act.'!$I$5:$I$516,0)</f>
        <v>53</v>
      </c>
      <c r="G6" s="4" cm="1">
        <f t="array" ref="G6">SUMPRODUCT(('Exp. vs Act.'!$A$5:$A$516=A6)*('Exp. vs Act.'!$I$5:$I$516&lt;0))</f>
        <v>34</v>
      </c>
    </row>
    <row r="7" spans="1:13" x14ac:dyDescent="0.3">
      <c r="A7" s="4" t="s">
        <v>362</v>
      </c>
      <c r="B7" s="26">
        <f>AVERAGEIF('Exp. vs Act.'!A:A,A7,'Exp. vs Act.'!F:F)</f>
        <v>1.90625</v>
      </c>
      <c r="C7" s="26">
        <f>AVERAGEIF('Exp. vs Act.'!A:A,A7,'Exp. vs Act.'!H:H)</f>
        <v>1.9921875</v>
      </c>
      <c r="D7" s="26">
        <f>AVERAGEIF('Exp. vs Act.'!A:A,A7,'Exp. vs Act.'!I:I)</f>
        <v>8.59375E-2</v>
      </c>
      <c r="E7" s="4" cm="1">
        <f t="array" ref="E7">SUMPRODUCT(('Exp. vs Act.'!$A$5:$A$516=A7)*('Exp. vs Act.'!$I$5:$I$516&gt;0))</f>
        <v>47</v>
      </c>
      <c r="F7" s="4">
        <f>COUNTIFS('Exp. vs Act.'!$A$5:$A$516,A7,'Exp. vs Act.'!$I$5:$I$516,0)</f>
        <v>49</v>
      </c>
      <c r="G7" s="4" cm="1">
        <f t="array" ref="G7">SUMPRODUCT(('Exp. vs Act.'!$A$5:$A$516=A7)*('Exp. vs Act.'!$I$5:$I$516&lt;0))</f>
        <v>32</v>
      </c>
    </row>
    <row r="8" spans="1:13" x14ac:dyDescent="0.3">
      <c r="A8" s="4" t="s">
        <v>28</v>
      </c>
      <c r="B8" s="26">
        <f>AVERAGEIF('Exp. vs Act.'!A:A,A8,'Exp. vs Act.'!F:F)</f>
        <v>1.9453125</v>
      </c>
      <c r="C8" s="26">
        <f>AVERAGEIF('Exp. vs Act.'!A:A,A8,'Exp. vs Act.'!H:H)</f>
        <v>1.9921875</v>
      </c>
      <c r="D8" s="26">
        <f>AVERAGEIF('Exp. vs Act.'!A:A,A8,'Exp. vs Act.'!I:I)</f>
        <v>4.6875E-2</v>
      </c>
      <c r="E8" s="4" cm="1">
        <f t="array" ref="E8">SUMPRODUCT(('Exp. vs Act.'!$A$5:$A$516=A8)*('Exp. vs Act.'!$I$5:$I$516&gt;0))</f>
        <v>35</v>
      </c>
      <c r="F8" s="4">
        <f>COUNTIFS('Exp. vs Act.'!$A$5:$A$516,A8,'Exp. vs Act.'!$I$5:$I$516,0)</f>
        <v>61</v>
      </c>
      <c r="G8" s="4" cm="1">
        <f t="array" ref="G8">SUMPRODUCT(('Exp. vs Act.'!$A$5:$A$516=A8)*('Exp. vs Act.'!$I$5:$I$516&lt;0))</f>
        <v>32</v>
      </c>
    </row>
  </sheetData>
  <mergeCells count="2">
    <mergeCell ref="A1:G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D3A9-F06D-4647-8574-93261A121FE0}">
  <dimension ref="A1:M34"/>
  <sheetViews>
    <sheetView zoomScale="80" zoomScaleNormal="80" workbookViewId="0">
      <selection activeCell="M8" sqref="M8"/>
    </sheetView>
  </sheetViews>
  <sheetFormatPr defaultRowHeight="14.4" x14ac:dyDescent="0.3"/>
  <cols>
    <col min="1" max="1" width="40.44140625" style="1" customWidth="1"/>
    <col min="2" max="2" width="28.6640625" style="1" customWidth="1"/>
    <col min="3" max="4" width="8.88671875" style="1" customWidth="1"/>
    <col min="5" max="5" width="0.109375" style="1" customWidth="1"/>
    <col min="6" max="6" width="39.77734375" style="1" customWidth="1"/>
    <col min="7" max="7" width="54.6640625" style="1" customWidth="1"/>
    <col min="8" max="8" width="8.5546875" style="1" customWidth="1"/>
    <col min="9" max="9" width="8.77734375" style="1" customWidth="1"/>
    <col min="10" max="10" width="9.109375" style="1" customWidth="1"/>
    <col min="11" max="11" width="8.88671875" style="1" customWidth="1"/>
    <col min="12" max="12" width="9" style="1" customWidth="1"/>
    <col min="13" max="13" width="8.88671875" style="1" customWidth="1"/>
    <col min="14" max="14" width="18.88671875" style="1" customWidth="1"/>
    <col min="15" max="16384" width="8.88671875" style="1"/>
  </cols>
  <sheetData>
    <row r="1" spans="1:13" ht="31.8" thickBot="1" x14ac:dyDescent="0.65">
      <c r="A1" s="60" t="s">
        <v>742</v>
      </c>
      <c r="B1" s="60"/>
      <c r="C1" s="60"/>
      <c r="D1" s="60"/>
      <c r="E1" s="60"/>
      <c r="F1" s="60"/>
      <c r="G1" s="60"/>
      <c r="H1" s="32"/>
      <c r="I1" s="32"/>
      <c r="J1" s="32"/>
      <c r="K1" s="32"/>
      <c r="L1" s="32"/>
      <c r="M1" s="32"/>
    </row>
    <row r="2" spans="1:13" x14ac:dyDescent="0.3">
      <c r="A2" s="59" t="s">
        <v>743</v>
      </c>
      <c r="B2" s="59"/>
      <c r="C2" s="59"/>
      <c r="D2" s="59"/>
      <c r="E2" s="59"/>
      <c r="F2" s="59"/>
      <c r="G2" s="59"/>
      <c r="H2" s="8"/>
      <c r="I2" s="8"/>
      <c r="J2" s="8"/>
      <c r="K2" s="8"/>
      <c r="L2" s="8"/>
      <c r="M2" s="8"/>
    </row>
    <row r="3" spans="1:13" x14ac:dyDescent="0.3">
      <c r="A3" s="16"/>
      <c r="B3" s="16"/>
      <c r="C3" s="16"/>
      <c r="D3" s="16"/>
      <c r="E3" s="16"/>
      <c r="F3" s="16"/>
      <c r="G3" s="16"/>
      <c r="H3" s="16"/>
      <c r="I3" s="16"/>
      <c r="J3" s="16"/>
      <c r="K3" s="16"/>
      <c r="L3" s="16"/>
      <c r="M3" s="16"/>
    </row>
    <row r="4" spans="1:13" ht="15.6" x14ac:dyDescent="0.3">
      <c r="A4" s="25" t="s">
        <v>763</v>
      </c>
      <c r="B4" s="16"/>
      <c r="C4" s="16"/>
      <c r="D4" s="16"/>
      <c r="E4" s="16"/>
      <c r="F4" s="25" t="s">
        <v>764</v>
      </c>
      <c r="G4" s="16"/>
      <c r="H4" s="16"/>
      <c r="I4" s="16"/>
      <c r="J4" s="16"/>
      <c r="K4" s="16"/>
      <c r="L4" s="16"/>
      <c r="M4" s="16"/>
    </row>
    <row r="6" spans="1:13" ht="15.6" x14ac:dyDescent="0.3">
      <c r="A6" s="6" t="s">
        <v>744</v>
      </c>
      <c r="B6" s="6" t="s">
        <v>745</v>
      </c>
    </row>
    <row r="7" spans="1:13" ht="28.8" x14ac:dyDescent="0.3">
      <c r="A7" s="29" t="s">
        <v>746</v>
      </c>
      <c r="B7" s="30">
        <f>AVERAGE('Exp. vs Act.'!F5:F516)</f>
        <v>1.94140625</v>
      </c>
      <c r="F7" s="29" t="s">
        <v>746</v>
      </c>
      <c r="G7" s="31" t="s">
        <v>765</v>
      </c>
    </row>
    <row r="8" spans="1:13" ht="28.8" x14ac:dyDescent="0.3">
      <c r="A8" s="29" t="s">
        <v>747</v>
      </c>
      <c r="B8" s="30">
        <f>AVERAGE('Exp. vs Act.'!H5:H516)</f>
        <v>1.9921875</v>
      </c>
      <c r="F8" s="29" t="s">
        <v>747</v>
      </c>
      <c r="G8" s="31" t="s">
        <v>766</v>
      </c>
    </row>
    <row r="9" spans="1:13" ht="28.8" x14ac:dyDescent="0.3">
      <c r="A9" s="29" t="s">
        <v>748</v>
      </c>
      <c r="B9" s="30">
        <f>AVERAGE('Exp. vs Act.'!I5:I516)</f>
        <v>4.6875E-2</v>
      </c>
      <c r="F9" s="29" t="s">
        <v>748</v>
      </c>
      <c r="G9" s="31" t="s">
        <v>767</v>
      </c>
    </row>
    <row r="10" spans="1:13" ht="43.2" x14ac:dyDescent="0.3">
      <c r="A10" s="29" t="s">
        <v>749</v>
      </c>
      <c r="B10" s="29">
        <f>MEDIAN('Exp. vs Act.'!I5:I516)</f>
        <v>0</v>
      </c>
      <c r="F10" s="29" t="s">
        <v>749</v>
      </c>
      <c r="G10" s="31" t="s">
        <v>768</v>
      </c>
    </row>
    <row r="11" spans="1:13" ht="28.8" x14ac:dyDescent="0.3">
      <c r="A11" s="29" t="s">
        <v>750</v>
      </c>
      <c r="B11" s="30">
        <f>_xlfn.STDEV.S('Exp. vs Act.'!I5:I516)</f>
        <v>1.2519065694804925</v>
      </c>
      <c r="F11" s="29" t="s">
        <v>750</v>
      </c>
      <c r="G11" s="31" t="s">
        <v>769</v>
      </c>
    </row>
    <row r="12" spans="1:13" ht="43.2" x14ac:dyDescent="0.3">
      <c r="A12" s="29" t="s">
        <v>751</v>
      </c>
      <c r="B12" s="29">
        <f>MIN('Exp. vs Act.'!I5:I516)</f>
        <v>-5</v>
      </c>
      <c r="F12" s="29" t="s">
        <v>751</v>
      </c>
      <c r="G12" s="31" t="s">
        <v>770</v>
      </c>
    </row>
    <row r="13" spans="1:13" ht="28.8" x14ac:dyDescent="0.3">
      <c r="A13" s="29" t="s">
        <v>752</v>
      </c>
      <c r="B13" s="29">
        <f>MAX('Exp. vs Act.'!I5:I516)</f>
        <v>3</v>
      </c>
      <c r="F13" s="29" t="s">
        <v>752</v>
      </c>
      <c r="G13" s="31" t="s">
        <v>771</v>
      </c>
    </row>
    <row r="18" ht="14.4" customHeight="1" x14ac:dyDescent="0.3"/>
    <row r="34" spans="1:1" x14ac:dyDescent="0.3">
      <c r="A34" s="27"/>
    </row>
  </sheetData>
  <mergeCells count="2">
    <mergeCell ref="A1:G1"/>
    <mergeCell ref="A2:G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F5AD-6D2B-445B-8BF9-77D0F421BB97}">
  <dimension ref="A1:M16"/>
  <sheetViews>
    <sheetView zoomScale="80" zoomScaleNormal="80" workbookViewId="0">
      <selection activeCell="J6" sqref="J6"/>
    </sheetView>
  </sheetViews>
  <sheetFormatPr defaultRowHeight="14.4" x14ac:dyDescent="0.3"/>
  <cols>
    <col min="1" max="1" width="40.44140625" style="1" customWidth="1"/>
    <col min="2" max="2" width="47.21875" style="1" customWidth="1"/>
    <col min="3" max="3" width="24.77734375" style="1" customWidth="1"/>
    <col min="4" max="4" width="8.88671875" style="1" customWidth="1"/>
    <col min="5" max="5" width="0.109375" style="1" customWidth="1"/>
    <col min="6" max="6" width="39.77734375" style="1" customWidth="1"/>
    <col min="7" max="7" width="67.109375" style="1" customWidth="1"/>
    <col min="8" max="8" width="8.6640625" style="1" customWidth="1"/>
    <col min="9" max="9" width="8.88671875" style="1" customWidth="1"/>
    <col min="10" max="10" width="9.109375" style="1" customWidth="1"/>
    <col min="11" max="12" width="8.88671875" style="1" customWidth="1"/>
    <col min="13" max="13" width="8.77734375" style="1" customWidth="1"/>
    <col min="14" max="14" width="9" style="1" customWidth="1"/>
    <col min="15" max="16384" width="8.88671875" style="1"/>
  </cols>
  <sheetData>
    <row r="1" spans="1:13" ht="31.8" thickBot="1" x14ac:dyDescent="0.65">
      <c r="A1" s="56" t="s">
        <v>742</v>
      </c>
      <c r="B1" s="56"/>
      <c r="C1" s="56"/>
      <c r="D1" s="56"/>
      <c r="E1" s="56"/>
      <c r="F1" s="56"/>
      <c r="G1" s="56"/>
      <c r="H1" s="32"/>
      <c r="I1" s="32"/>
      <c r="J1" s="32"/>
      <c r="K1" s="32"/>
      <c r="L1" s="32"/>
      <c r="M1" s="32"/>
    </row>
    <row r="2" spans="1:13" x14ac:dyDescent="0.3">
      <c r="A2" s="55" t="s">
        <v>743</v>
      </c>
      <c r="B2" s="55"/>
      <c r="C2" s="55"/>
      <c r="D2" s="55"/>
      <c r="E2" s="55"/>
      <c r="F2" s="55"/>
      <c r="G2" s="55"/>
      <c r="H2" s="8"/>
      <c r="I2" s="8"/>
      <c r="J2" s="8"/>
      <c r="K2" s="8"/>
      <c r="L2" s="8"/>
      <c r="M2" s="8"/>
    </row>
    <row r="4" spans="1:13" ht="15.6" x14ac:dyDescent="0.3">
      <c r="A4" s="48" t="s">
        <v>753</v>
      </c>
      <c r="F4" s="48" t="s">
        <v>758</v>
      </c>
    </row>
    <row r="6" spans="1:13" x14ac:dyDescent="0.3">
      <c r="A6" s="28" t="s">
        <v>754</v>
      </c>
      <c r="B6" s="28" t="s">
        <v>755</v>
      </c>
      <c r="C6" s="28" t="s">
        <v>756</v>
      </c>
    </row>
    <row r="7" spans="1:13" ht="57.6" x14ac:dyDescent="0.3">
      <c r="A7" s="29" t="s">
        <v>757</v>
      </c>
      <c r="B7" s="29" t="s">
        <v>723</v>
      </c>
      <c r="C7" s="30" cm="1">
        <f t="array" ref="C7">CORREL(_xlfn._xlws.FILTER('Exp. vs Act.'!C5:C516,'Exp. vs Act.'!C5:C516&lt;&gt;""),_xlfn._xlws.FILTER('Exp. vs Act.'!H5:H516,'Exp. vs Act.'!C5:C516&lt;&gt;""))</f>
        <v>-0.25575762300698091</v>
      </c>
      <c r="F7" s="29" t="s">
        <v>759</v>
      </c>
      <c r="G7" s="31" t="s">
        <v>761</v>
      </c>
    </row>
    <row r="8" spans="1:13" ht="43.2" x14ac:dyDescent="0.3">
      <c r="A8" s="29" t="s">
        <v>721</v>
      </c>
      <c r="B8" s="29" t="s">
        <v>723</v>
      </c>
      <c r="C8" s="30">
        <f>CORREL('Exp. vs Act.'!F5:F516,'Exp. vs Act.'!H5:H516)</f>
        <v>0.57502663696206791</v>
      </c>
      <c r="F8" s="29" t="s">
        <v>760</v>
      </c>
      <c r="G8" s="31" t="s">
        <v>762</v>
      </c>
    </row>
    <row r="16" spans="1:13" ht="14.4" customHeight="1" x14ac:dyDescent="0.3"/>
  </sheetData>
  <mergeCells count="2">
    <mergeCell ref="A1:G1"/>
    <mergeCell ref="A2:G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B280-EB0F-46DA-9FE3-D18F982676FB}">
  <dimension ref="A1:M15"/>
  <sheetViews>
    <sheetView zoomScale="80" zoomScaleNormal="80" workbookViewId="0">
      <selection activeCell="F25" sqref="F25"/>
    </sheetView>
  </sheetViews>
  <sheetFormatPr defaultRowHeight="14.4" x14ac:dyDescent="0.3"/>
  <cols>
    <col min="1" max="1" width="40.44140625" style="1" customWidth="1"/>
    <col min="2" max="2" width="47.21875" style="1" customWidth="1"/>
    <col min="3" max="4" width="8.88671875" style="1" customWidth="1"/>
    <col min="5" max="5" width="0.109375" style="1" customWidth="1"/>
    <col min="6" max="6" width="39.77734375" style="1" customWidth="1"/>
    <col min="7" max="7" width="67.109375" style="1" customWidth="1"/>
    <col min="8" max="8" width="8.6640625" style="1" customWidth="1"/>
    <col min="9" max="9" width="8.88671875" style="1" customWidth="1"/>
    <col min="10" max="10" width="9.109375" style="1" customWidth="1"/>
    <col min="11" max="12" width="8.88671875" style="1" customWidth="1"/>
    <col min="13" max="13" width="8.77734375" style="1" customWidth="1"/>
    <col min="14" max="14" width="9" style="1" customWidth="1"/>
    <col min="15" max="16384" width="8.88671875" style="1"/>
  </cols>
  <sheetData>
    <row r="1" spans="1:13" ht="31.8" thickBot="1" x14ac:dyDescent="0.65">
      <c r="A1" s="56" t="s">
        <v>742</v>
      </c>
      <c r="B1" s="56"/>
      <c r="C1" s="56"/>
      <c r="D1" s="56"/>
      <c r="E1" s="56"/>
      <c r="F1" s="56"/>
      <c r="G1" s="56"/>
      <c r="H1" s="32"/>
      <c r="I1" s="32"/>
      <c r="J1" s="32"/>
      <c r="K1" s="32"/>
      <c r="L1" s="32"/>
      <c r="M1" s="32"/>
    </row>
    <row r="2" spans="1:13" x14ac:dyDescent="0.3">
      <c r="A2" s="55" t="s">
        <v>743</v>
      </c>
      <c r="B2" s="55"/>
      <c r="C2" s="55"/>
      <c r="D2" s="55"/>
      <c r="E2" s="55"/>
      <c r="F2" s="55"/>
      <c r="G2" s="55"/>
      <c r="H2" s="8"/>
      <c r="I2" s="8"/>
      <c r="J2" s="8"/>
      <c r="K2" s="8"/>
      <c r="L2" s="8"/>
      <c r="M2" s="8"/>
    </row>
    <row r="4" spans="1:13" ht="15.6" x14ac:dyDescent="0.3">
      <c r="A4" s="45" t="s">
        <v>772</v>
      </c>
      <c r="F4" s="45" t="s">
        <v>783</v>
      </c>
    </row>
    <row r="6" spans="1:13" ht="15.6" x14ac:dyDescent="0.3">
      <c r="A6" s="6" t="s">
        <v>773</v>
      </c>
      <c r="B6" s="6" t="s">
        <v>745</v>
      </c>
    </row>
    <row r="7" spans="1:13" x14ac:dyDescent="0.3">
      <c r="A7" s="4" t="s">
        <v>774</v>
      </c>
      <c r="B7" s="4" t="str">
        <f>"Actual Score = "&amp;TEXT(B9,"0.0000")&amp;" + "&amp;TEXT(B8,"0.0000")&amp;" × Expected Score"</f>
        <v>Actual Score = 0.8521 + 0.5873 × Expected Score</v>
      </c>
    </row>
    <row r="8" spans="1:13" x14ac:dyDescent="0.3">
      <c r="A8" s="4" t="s">
        <v>775</v>
      </c>
      <c r="B8" s="26" cm="1">
        <f t="array" ref="B8">SLOPE(_xlfn._xlws.FILTER('Exp. vs Act.'!H5:H516,'Exp. vs Act.'!F5:F516&lt;&gt;""),_xlfn._xlws.FILTER('Exp. vs Act.'!F5:F516,'Exp. vs Act.'!F5:F516&lt;&gt;""))</f>
        <v>0.58725476107960073</v>
      </c>
    </row>
    <row r="9" spans="1:13" x14ac:dyDescent="0.3">
      <c r="A9" s="4" t="s">
        <v>776</v>
      </c>
      <c r="B9" s="26" cm="1">
        <f t="array" ref="B9">INTERCEPT(_xlfn._xlws.FILTER('Exp. vs Act.'!H5:H516,'Exp. vs Act.'!F5:F516&lt;&gt;""),_xlfn._xlws.FILTER('Exp. vs Act.'!F5:F516,'Exp. vs Act.'!F5:F516&lt;&gt;""))</f>
        <v>0.85208743649780638</v>
      </c>
    </row>
    <row r="10" spans="1:13" x14ac:dyDescent="0.3">
      <c r="A10" s="4" t="s">
        <v>777</v>
      </c>
      <c r="B10" s="26" cm="1">
        <f t="array" ref="B10">RSQ(_xlfn._xlws.FILTER('Exp. vs Act.'!H5:H516,'Exp. vs Act.'!F5:F516&lt;&gt;""),_xlfn._xlws.FILTER('Exp. vs Act.'!F5:F516,'Exp. vs Act.'!F5:F516&lt;&gt;""))</f>
        <v>0.33065563321590569</v>
      </c>
    </row>
    <row r="11" spans="1:13" x14ac:dyDescent="0.3">
      <c r="A11" s="4" t="s">
        <v>778</v>
      </c>
      <c r="B11" s="26">
        <f>STEYX('Exp. vs Act.'!H5:H516,'Exp. vs Act.'!F5:F516)</f>
        <v>1.124789350708594</v>
      </c>
    </row>
    <row r="12" spans="1:13" x14ac:dyDescent="0.3">
      <c r="A12" s="4" t="s">
        <v>779</v>
      </c>
      <c r="B12" s="4">
        <f>COUNT('Exp. vs Act.'!F5:F516)</f>
        <v>512</v>
      </c>
    </row>
    <row r="13" spans="1:13" x14ac:dyDescent="0.3">
      <c r="A13" s="4" t="s">
        <v>780</v>
      </c>
      <c r="B13" s="26">
        <f>INDEX(LINEST('Exp. vs Act.'!H5:H516,'Exp. vs Act.'!F5:F516,TRUE,TRUE),2,1)</f>
        <v>3.6998004575606105E-2</v>
      </c>
    </row>
    <row r="14" spans="1:13" ht="14.4" customHeight="1" x14ac:dyDescent="0.3">
      <c r="A14" s="4" t="s">
        <v>781</v>
      </c>
      <c r="B14" s="26">
        <f>B8/B13</f>
        <v>15.872606315282079</v>
      </c>
    </row>
    <row r="15" spans="1:13" x14ac:dyDescent="0.3">
      <c r="A15" s="4" t="s">
        <v>782</v>
      </c>
      <c r="B15" s="4">
        <f>_xlfn.T.DIST.2T(ABS(B14),B12-2)</f>
        <v>2.1242462805074454E-46</v>
      </c>
    </row>
  </sheetData>
  <mergeCells count="2">
    <mergeCell ref="A1:G1"/>
    <mergeCell ref="A2:G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C29C9-5434-4302-A84E-77B8A3FF1204}">
  <dimension ref="A1:P18"/>
  <sheetViews>
    <sheetView zoomScale="80" zoomScaleNormal="80" workbookViewId="0">
      <selection activeCell="G31" sqref="G31"/>
    </sheetView>
  </sheetViews>
  <sheetFormatPr defaultRowHeight="14.4" x14ac:dyDescent="0.3"/>
  <cols>
    <col min="1" max="1" width="62.33203125" customWidth="1"/>
    <col min="2" max="2" width="14.77734375" customWidth="1"/>
    <col min="3" max="3" width="18.33203125" customWidth="1"/>
    <col min="4" max="4" width="21.109375" customWidth="1"/>
    <col min="6" max="6" width="52.109375" customWidth="1"/>
    <col min="7" max="7" width="14.77734375" customWidth="1"/>
    <col min="8" max="8" width="32.21875" customWidth="1"/>
    <col min="10" max="10" width="35.6640625" customWidth="1"/>
    <col min="11" max="11" width="14.77734375" customWidth="1"/>
    <col min="12" max="12" width="42.44140625" customWidth="1"/>
    <col min="14" max="14" width="39.33203125" customWidth="1"/>
    <col min="15" max="15" width="19.33203125" customWidth="1"/>
    <col min="16" max="16" width="17.88671875" customWidth="1"/>
  </cols>
  <sheetData>
    <row r="1" spans="1:16" ht="31.8" thickBot="1" x14ac:dyDescent="0.65">
      <c r="A1" s="58" t="s">
        <v>784</v>
      </c>
      <c r="B1" s="58"/>
      <c r="C1" s="58"/>
      <c r="D1" s="58"/>
      <c r="E1" s="58"/>
      <c r="F1" s="58"/>
      <c r="G1" s="58"/>
      <c r="H1" s="58"/>
      <c r="I1" s="58"/>
      <c r="J1" s="58"/>
      <c r="K1" s="58"/>
      <c r="L1" s="58"/>
      <c r="M1" s="58"/>
      <c r="N1" s="58"/>
      <c r="O1" s="58"/>
      <c r="P1" s="58"/>
    </row>
    <row r="2" spans="1:16" x14ac:dyDescent="0.3">
      <c r="A2" s="55" t="s">
        <v>785</v>
      </c>
      <c r="B2" s="55"/>
      <c r="C2" s="55"/>
      <c r="D2" s="55"/>
      <c r="E2" s="55"/>
      <c r="F2" s="55"/>
      <c r="G2" s="55"/>
      <c r="H2" s="55"/>
      <c r="I2" s="55"/>
      <c r="J2" s="55"/>
      <c r="K2" s="55"/>
      <c r="L2" s="55"/>
      <c r="M2" s="55"/>
      <c r="N2" s="55"/>
      <c r="O2" s="55"/>
      <c r="P2" s="55"/>
    </row>
    <row r="4" spans="1:16" ht="15.6" x14ac:dyDescent="0.3">
      <c r="A4" s="51" t="s">
        <v>786</v>
      </c>
    </row>
    <row r="5" spans="1:16" ht="57" customHeight="1" x14ac:dyDescent="0.3">
      <c r="A5" s="33" t="s">
        <v>787</v>
      </c>
    </row>
    <row r="8" spans="1:16" ht="15.6" x14ac:dyDescent="0.3">
      <c r="A8" s="51" t="s">
        <v>806</v>
      </c>
      <c r="F8" s="51" t="s">
        <v>807</v>
      </c>
      <c r="J8" s="51" t="s">
        <v>808</v>
      </c>
      <c r="N8" s="51" t="s">
        <v>809</v>
      </c>
    </row>
    <row r="9" spans="1:16" ht="48" customHeight="1" x14ac:dyDescent="0.3">
      <c r="A9" s="37" t="s">
        <v>822</v>
      </c>
      <c r="F9" s="37" t="s">
        <v>824</v>
      </c>
      <c r="J9" s="37" t="s">
        <v>826</v>
      </c>
      <c r="N9" s="37" t="s">
        <v>828</v>
      </c>
    </row>
    <row r="10" spans="1:16" ht="15.6" x14ac:dyDescent="0.3">
      <c r="B10" s="6" t="s">
        <v>788</v>
      </c>
      <c r="C10" s="6" t="s">
        <v>789</v>
      </c>
      <c r="D10" s="6" t="s">
        <v>747</v>
      </c>
      <c r="G10" s="6" t="s">
        <v>788</v>
      </c>
      <c r="H10" s="6" t="s">
        <v>797</v>
      </c>
      <c r="K10" s="6" t="s">
        <v>800</v>
      </c>
      <c r="L10" s="6" t="s">
        <v>801</v>
      </c>
      <c r="O10" s="6" t="s">
        <v>810</v>
      </c>
      <c r="P10" s="6" t="s">
        <v>811</v>
      </c>
    </row>
    <row r="11" spans="1:16" x14ac:dyDescent="0.3">
      <c r="B11" s="34" t="s">
        <v>790</v>
      </c>
      <c r="C11" s="4">
        <v>40</v>
      </c>
      <c r="D11" s="38">
        <v>4.2249999999999996</v>
      </c>
      <c r="G11" s="34" t="s">
        <v>790</v>
      </c>
      <c r="H11" s="38">
        <v>-1.175</v>
      </c>
      <c r="K11" s="34" t="s">
        <v>790</v>
      </c>
      <c r="L11" s="38">
        <v>1.972731</v>
      </c>
      <c r="O11" s="4" t="s">
        <v>812</v>
      </c>
      <c r="P11" s="38">
        <v>-0.25580000000000003</v>
      </c>
    </row>
    <row r="12" spans="1:16" x14ac:dyDescent="0.3">
      <c r="B12" s="35" t="s">
        <v>791</v>
      </c>
      <c r="C12" s="4">
        <v>37</v>
      </c>
      <c r="D12" s="38">
        <v>2.7568000000000001</v>
      </c>
      <c r="G12" s="35" t="s">
        <v>791</v>
      </c>
      <c r="H12" s="38">
        <v>-0.83779999999999999</v>
      </c>
      <c r="K12" s="35" t="s">
        <v>791</v>
      </c>
      <c r="L12" s="38">
        <v>1.280484</v>
      </c>
      <c r="O12" s="4" t="s">
        <v>789</v>
      </c>
      <c r="P12" s="4">
        <v>512</v>
      </c>
    </row>
    <row r="13" spans="1:16" x14ac:dyDescent="0.3">
      <c r="A13" s="1"/>
      <c r="B13" s="35" t="s">
        <v>792</v>
      </c>
      <c r="C13" s="4">
        <v>115</v>
      </c>
      <c r="D13" s="38">
        <v>1.9825999999999999</v>
      </c>
      <c r="G13" s="35" t="s">
        <v>792</v>
      </c>
      <c r="H13" s="38">
        <v>-0.40870000000000001</v>
      </c>
      <c r="K13" s="35" t="s">
        <v>792</v>
      </c>
      <c r="L13" s="38">
        <v>1.1839249999999999</v>
      </c>
    </row>
    <row r="14" spans="1:16" x14ac:dyDescent="0.3">
      <c r="B14" s="4" t="s">
        <v>793</v>
      </c>
      <c r="C14" s="4">
        <v>174</v>
      </c>
      <c r="D14" s="38">
        <v>1.6897</v>
      </c>
      <c r="G14" s="4" t="s">
        <v>793</v>
      </c>
      <c r="H14" s="38">
        <v>0.39079999999999998</v>
      </c>
      <c r="K14" s="4" t="s">
        <v>793</v>
      </c>
      <c r="L14" s="38">
        <v>0.98375599999999996</v>
      </c>
    </row>
    <row r="15" spans="1:16" x14ac:dyDescent="0.3">
      <c r="B15" s="4" t="s">
        <v>794</v>
      </c>
      <c r="C15" s="4">
        <v>144</v>
      </c>
      <c r="D15" s="38">
        <v>1.5625</v>
      </c>
      <c r="G15" s="4" t="s">
        <v>794</v>
      </c>
      <c r="H15" s="38">
        <v>0.5625</v>
      </c>
      <c r="K15" s="4" t="s">
        <v>794</v>
      </c>
      <c r="L15" s="38">
        <v>0.79963899999999999</v>
      </c>
    </row>
    <row r="17" spans="1:16" ht="15.6" x14ac:dyDescent="0.3">
      <c r="A17" s="51" t="s">
        <v>795</v>
      </c>
      <c r="C17" s="52" t="s">
        <v>804</v>
      </c>
      <c r="F17" s="51" t="s">
        <v>798</v>
      </c>
      <c r="H17" s="52" t="s">
        <v>804</v>
      </c>
      <c r="J17" s="51" t="s">
        <v>798</v>
      </c>
      <c r="L17" s="51" t="s">
        <v>804</v>
      </c>
      <c r="N17" s="51" t="s">
        <v>798</v>
      </c>
      <c r="P17" s="52" t="s">
        <v>803</v>
      </c>
    </row>
    <row r="18" spans="1:16" ht="156" customHeight="1" x14ac:dyDescent="0.3">
      <c r="A18" s="37" t="s">
        <v>796</v>
      </c>
      <c r="C18" s="37" t="s">
        <v>823</v>
      </c>
      <c r="F18" s="37" t="s">
        <v>799</v>
      </c>
      <c r="H18" s="39" t="s">
        <v>825</v>
      </c>
      <c r="J18" s="37" t="s">
        <v>802</v>
      </c>
      <c r="L18" s="39" t="s">
        <v>827</v>
      </c>
      <c r="N18" s="37" t="s">
        <v>813</v>
      </c>
      <c r="P18" s="39" t="s">
        <v>829</v>
      </c>
    </row>
  </sheetData>
  <mergeCells count="2">
    <mergeCell ref="A1:P1"/>
    <mergeCell ref="A2:P2"/>
  </mergeCells>
  <pageMargins left="0.7" right="0.7" top="0.75" bottom="0.75" header="0.3" footer="0.3"/>
  <ignoredErrors>
    <ignoredError sqref="B12" twoDigitTextYea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9B2F7-1033-4B23-8F76-B8322616C927}">
  <dimension ref="A1:M20"/>
  <sheetViews>
    <sheetView zoomScale="80" zoomScaleNormal="80" workbookViewId="0">
      <selection activeCell="H6" sqref="H6"/>
    </sheetView>
  </sheetViews>
  <sheetFormatPr defaultRowHeight="14.4" x14ac:dyDescent="0.3"/>
  <cols>
    <col min="1" max="1" width="55.6640625" customWidth="1"/>
    <col min="2" max="2" width="19" customWidth="1"/>
    <col min="3" max="3" width="18.109375" customWidth="1"/>
    <col min="4" max="4" width="12.88671875" customWidth="1"/>
    <col min="5" max="5" width="19.5546875" customWidth="1"/>
    <col min="6" max="6" width="17.5546875" customWidth="1"/>
    <col min="7" max="7" width="13.33203125" customWidth="1"/>
    <col min="8" max="8" width="30.33203125" customWidth="1"/>
    <col min="9" max="9" width="27.21875" customWidth="1"/>
  </cols>
  <sheetData>
    <row r="1" spans="1:13" ht="31.8" thickBot="1" x14ac:dyDescent="0.65">
      <c r="A1" s="60" t="s">
        <v>784</v>
      </c>
      <c r="B1" s="60"/>
      <c r="C1" s="60"/>
      <c r="D1" s="60"/>
      <c r="E1" s="60"/>
      <c r="F1" s="32"/>
      <c r="G1" s="32"/>
      <c r="H1" s="32"/>
      <c r="I1" s="32"/>
      <c r="J1" s="32"/>
      <c r="K1" s="32"/>
      <c r="L1" s="32"/>
      <c r="M1" s="32"/>
    </row>
    <row r="2" spans="1:13" x14ac:dyDescent="0.3">
      <c r="A2" s="59" t="s">
        <v>805</v>
      </c>
      <c r="B2" s="59"/>
      <c r="C2" s="59"/>
      <c r="D2" s="59"/>
      <c r="E2" s="59"/>
      <c r="F2" s="8"/>
      <c r="G2" s="8"/>
      <c r="H2" s="8"/>
      <c r="I2" s="8"/>
      <c r="J2" s="8"/>
      <c r="K2" s="8"/>
      <c r="L2" s="8"/>
      <c r="M2" s="8"/>
    </row>
    <row r="5" spans="1:13" ht="15.6" x14ac:dyDescent="0.3">
      <c r="A5" s="47" t="s">
        <v>814</v>
      </c>
    </row>
    <row r="6" spans="1:13" ht="51" customHeight="1" x14ac:dyDescent="0.3">
      <c r="A6" s="37" t="s">
        <v>830</v>
      </c>
    </row>
    <row r="7" spans="1:13" ht="46.8" x14ac:dyDescent="0.3">
      <c r="B7" s="41" t="s">
        <v>314</v>
      </c>
      <c r="C7" s="41" t="s">
        <v>815</v>
      </c>
      <c r="D7" s="41" t="s">
        <v>748</v>
      </c>
      <c r="E7" s="41" t="s">
        <v>816</v>
      </c>
    </row>
    <row r="8" spans="1:13" x14ac:dyDescent="0.3">
      <c r="B8" s="40" t="s">
        <v>89</v>
      </c>
      <c r="C8" s="40">
        <v>3</v>
      </c>
      <c r="D8" s="40">
        <v>1.67</v>
      </c>
      <c r="E8" s="42" t="s">
        <v>818</v>
      </c>
    </row>
    <row r="9" spans="1:13" x14ac:dyDescent="0.3">
      <c r="B9" s="40" t="s">
        <v>74</v>
      </c>
      <c r="C9" s="40">
        <v>4</v>
      </c>
      <c r="D9" s="40">
        <v>1.5</v>
      </c>
      <c r="E9" s="42" t="s">
        <v>819</v>
      </c>
    </row>
    <row r="10" spans="1:13" x14ac:dyDescent="0.3">
      <c r="B10" s="40" t="s">
        <v>119</v>
      </c>
      <c r="C10" s="40">
        <v>4</v>
      </c>
      <c r="D10" s="40">
        <v>1.25</v>
      </c>
      <c r="E10" s="42" t="s">
        <v>818</v>
      </c>
    </row>
    <row r="11" spans="1:13" x14ac:dyDescent="0.3">
      <c r="B11" s="40" t="s">
        <v>109</v>
      </c>
      <c r="C11" s="40">
        <v>4</v>
      </c>
      <c r="D11" s="40">
        <v>1</v>
      </c>
      <c r="E11" s="42" t="s">
        <v>820</v>
      </c>
    </row>
    <row r="12" spans="1:13" ht="14.4" customHeight="1" x14ac:dyDescent="0.3">
      <c r="B12" s="40" t="s">
        <v>336</v>
      </c>
      <c r="C12" s="40">
        <v>3</v>
      </c>
      <c r="D12" s="40">
        <v>1</v>
      </c>
      <c r="E12" s="42" t="s">
        <v>821</v>
      </c>
    </row>
    <row r="13" spans="1:13" x14ac:dyDescent="0.3">
      <c r="B13" s="40" t="s">
        <v>118</v>
      </c>
      <c r="C13" s="40">
        <v>3</v>
      </c>
      <c r="D13" s="40">
        <v>1</v>
      </c>
      <c r="E13" s="42" t="s">
        <v>821</v>
      </c>
    </row>
    <row r="14" spans="1:13" x14ac:dyDescent="0.3">
      <c r="B14" s="40" t="s">
        <v>342</v>
      </c>
      <c r="C14" s="40">
        <v>3</v>
      </c>
      <c r="D14" s="40">
        <v>1</v>
      </c>
      <c r="E14" s="42" t="s">
        <v>821</v>
      </c>
    </row>
    <row r="15" spans="1:13" x14ac:dyDescent="0.3">
      <c r="B15" s="40" t="s">
        <v>333</v>
      </c>
      <c r="C15" s="40">
        <v>3</v>
      </c>
      <c r="D15" s="40">
        <v>1</v>
      </c>
      <c r="E15" s="42" t="s">
        <v>821</v>
      </c>
    </row>
    <row r="16" spans="1:13" x14ac:dyDescent="0.3">
      <c r="B16" s="40" t="s">
        <v>127</v>
      </c>
      <c r="C16" s="40">
        <v>4</v>
      </c>
      <c r="D16" s="40">
        <v>1</v>
      </c>
      <c r="E16" s="42" t="s">
        <v>820</v>
      </c>
    </row>
    <row r="17" spans="1:5" x14ac:dyDescent="0.3">
      <c r="B17" s="40" t="s">
        <v>208</v>
      </c>
      <c r="C17" s="40">
        <v>4</v>
      </c>
      <c r="D17" s="40">
        <v>1</v>
      </c>
      <c r="E17" s="42" t="s">
        <v>820</v>
      </c>
    </row>
    <row r="19" spans="1:5" ht="15.6" x14ac:dyDescent="0.3">
      <c r="A19" s="47" t="s">
        <v>795</v>
      </c>
      <c r="C19" s="47" t="s">
        <v>804</v>
      </c>
    </row>
    <row r="20" spans="1:5" ht="72" x14ac:dyDescent="0.3">
      <c r="A20" s="33" t="s">
        <v>817</v>
      </c>
      <c r="C20" s="33" t="s">
        <v>831</v>
      </c>
    </row>
  </sheetData>
  <mergeCells count="2">
    <mergeCell ref="A1:E1"/>
    <mergeCell ref="A2:E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3D1B0F-D244-422B-8EA6-7738244777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Overview  </vt:lpstr>
      <vt:lpstr>Tournament List</vt:lpstr>
      <vt:lpstr>Raw Data</vt:lpstr>
      <vt:lpstr>Tournament Results</vt:lpstr>
      <vt:lpstr>Exp. vs Act.</vt:lpstr>
      <vt:lpstr>Tournament Comparison</vt:lpstr>
      <vt:lpstr>Statistical Analysis </vt:lpstr>
      <vt:lpstr>Statistical Analysis 2</vt:lpstr>
      <vt:lpstr>Statistical Analysis 3</vt:lpstr>
      <vt:lpstr>Python Analysis</vt:lpstr>
      <vt:lpstr>Python Analysis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 Patel</dc:creator>
  <cp:lastModifiedBy>Sayan Patel</cp:lastModifiedBy>
  <cp:lastPrinted>2026-09-25T10:08:34Z</cp:lastPrinted>
  <dcterms:created xsi:type="dcterms:W3CDTF">2026-09-18T14:11:13Z</dcterms:created>
  <dcterms:modified xsi:type="dcterms:W3CDTF">2026-09-27T13:29:23Z</dcterms:modified>
</cp:coreProperties>
</file>